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2" windowWidth="16092" windowHeight="9660" activeTab="3"/>
  </bookViews>
  <sheets>
    <sheet name="Sheet3" sheetId="3" r:id="rId1"/>
    <sheet name="Raw_Data" sheetId="1" r:id="rId2"/>
    <sheet name="Cleaned_Data" sheetId="2" r:id="rId3"/>
    <sheet name="Data_Analysis" sheetId="5" r:id="rId4"/>
  </sheets>
  <calcPr calcId="152511"/>
  <pivotCaches>
    <pivotCache cacheId="0" r:id="rId5"/>
    <pivotCache cacheId="7" r:id="rId6"/>
  </pivotCaches>
</workbook>
</file>

<file path=xl/calcChain.xml><?xml version="1.0" encoding="utf-8"?>
<calcChain xmlns="http://schemas.openxmlformats.org/spreadsheetml/2006/main">
  <c r="B1" i="5" l="1"/>
  <c r="E2" i="2" l="1"/>
  <c r="D3" i="2"/>
  <c r="D2" i="2"/>
  <c r="C2" i="2"/>
  <c r="B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B2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</calcChain>
</file>

<file path=xl/sharedStrings.xml><?xml version="1.0" encoding="utf-8"?>
<sst xmlns="http://schemas.openxmlformats.org/spreadsheetml/2006/main" count="3521" uniqueCount="737">
  <si>
    <t>Order_ID</t>
  </si>
  <si>
    <t>Product</t>
  </si>
  <si>
    <t>Region</t>
  </si>
  <si>
    <t>Revenue</t>
  </si>
  <si>
    <t>Date</t>
  </si>
  <si>
    <t>Monitor</t>
  </si>
  <si>
    <t>Laptop</t>
  </si>
  <si>
    <t>Tablet</t>
  </si>
  <si>
    <t>Mouse</t>
  </si>
  <si>
    <t>Keyboard</t>
  </si>
  <si>
    <t>South</t>
  </si>
  <si>
    <t>East</t>
  </si>
  <si>
    <t>West</t>
  </si>
  <si>
    <t>North</t>
  </si>
  <si>
    <t>2024-09-14</t>
  </si>
  <si>
    <t>2024/12/10</t>
  </si>
  <si>
    <t>23-06-2024</t>
  </si>
  <si>
    <t>2024-09-30</t>
  </si>
  <si>
    <t>2024/09/20</t>
  </si>
  <si>
    <t>15-04-2024</t>
  </si>
  <si>
    <t>2024/09/27</t>
  </si>
  <si>
    <t>2024-02-22</t>
  </si>
  <si>
    <t>09-01-2024</t>
  </si>
  <si>
    <t>2024-09-17</t>
  </si>
  <si>
    <t>2024-03-02</t>
  </si>
  <si>
    <t>13-09-2024</t>
  </si>
  <si>
    <t>2024/06/27</t>
  </si>
  <si>
    <t>24-08-2024</t>
  </si>
  <si>
    <t>2024-12-13</t>
  </si>
  <si>
    <t>16-07-2024</t>
  </si>
  <si>
    <t>05-04-2024</t>
  </si>
  <si>
    <t>2024/04/10</t>
  </si>
  <si>
    <t>2024-08-12</t>
  </si>
  <si>
    <t>2024/07/02</t>
  </si>
  <si>
    <t>27-08-2024</t>
  </si>
  <si>
    <t>11-12-2024</t>
  </si>
  <si>
    <t>2024-05-08</t>
  </si>
  <si>
    <t>21-04-2024</t>
  </si>
  <si>
    <t>2024/01/09</t>
  </si>
  <si>
    <t>2024/04/25</t>
  </si>
  <si>
    <t>08-04-2024</t>
  </si>
  <si>
    <t>2024/03/08</t>
  </si>
  <si>
    <t>02-02-2024</t>
  </si>
  <si>
    <t>2024-09-20</t>
  </si>
  <si>
    <t>2024-05-26</t>
  </si>
  <si>
    <t>20-08-2024</t>
  </si>
  <si>
    <t>09-06-2024</t>
  </si>
  <si>
    <t>14-10-2024</t>
  </si>
  <si>
    <t>02-09-2024</t>
  </si>
  <si>
    <t>08-11-2024</t>
  </si>
  <si>
    <t>2024/12/19</t>
  </si>
  <si>
    <t>09-11-2024</t>
  </si>
  <si>
    <t>2024/02/29</t>
  </si>
  <si>
    <t>2024/11/06</t>
  </si>
  <si>
    <t>2024/04/29</t>
  </si>
  <si>
    <t>2024/05/08</t>
  </si>
  <si>
    <t>2024-09-28</t>
  </si>
  <si>
    <t>2024/03/26</t>
  </si>
  <si>
    <t>2024/07/22</t>
  </si>
  <si>
    <t>2024-09-06</t>
  </si>
  <si>
    <t>2024-11-20</t>
  </si>
  <si>
    <t>26-06-2024</t>
  </si>
  <si>
    <t>2024/02/12</t>
  </si>
  <si>
    <t>02-12-2024</t>
  </si>
  <si>
    <t>2024-04-23</t>
  </si>
  <si>
    <t>2024-07-10</t>
  </si>
  <si>
    <t>2024-09-24</t>
  </si>
  <si>
    <t>2024/12/07</t>
  </si>
  <si>
    <t>2024-10-10</t>
  </si>
  <si>
    <t>2024-08-02</t>
  </si>
  <si>
    <t>22-06-2024</t>
  </si>
  <si>
    <t>2024-12-30</t>
  </si>
  <si>
    <t>29-12-2024</t>
  </si>
  <si>
    <t>2024-08-07</t>
  </si>
  <si>
    <t>09-07-2024</t>
  </si>
  <si>
    <t>29-10-2024</t>
  </si>
  <si>
    <t>2024/08/20</t>
  </si>
  <si>
    <t>12-01-2024</t>
  </si>
  <si>
    <t>15-05-2024</t>
  </si>
  <si>
    <t>30-07-2024</t>
  </si>
  <si>
    <t>2024-01-10</t>
  </si>
  <si>
    <t>2024-06-25</t>
  </si>
  <si>
    <t>2024-11-06</t>
  </si>
  <si>
    <t>2024/03/23</t>
  </si>
  <si>
    <t>2024/10/14</t>
  </si>
  <si>
    <t>01-11-2024</t>
  </si>
  <si>
    <t>2024-07-25</t>
  </si>
  <si>
    <t>03-12-2024</t>
  </si>
  <si>
    <t>2024-09-03</t>
  </si>
  <si>
    <t>09-03-2024</t>
  </si>
  <si>
    <t>01-07-2024</t>
  </si>
  <si>
    <t>03-06-2024</t>
  </si>
  <si>
    <t>2024/11/21</t>
  </si>
  <si>
    <t>2024/03/13</t>
  </si>
  <si>
    <t>2024/12/02</t>
  </si>
  <si>
    <t>2024/08/01</t>
  </si>
  <si>
    <t>2024-01-07</t>
  </si>
  <si>
    <t>2024/07/10</t>
  </si>
  <si>
    <t>2024/10/26</t>
  </si>
  <si>
    <t>15-08-2024</t>
  </si>
  <si>
    <t>08-10-2024</t>
  </si>
  <si>
    <t>2024/10/03</t>
  </si>
  <si>
    <t>06-11-2024</t>
  </si>
  <si>
    <t>2024-03-15</t>
  </si>
  <si>
    <t>2024/01/26</t>
  </si>
  <si>
    <t>2024-04-22</t>
  </si>
  <si>
    <t>2024/09/15</t>
  </si>
  <si>
    <t>2024/05/09</t>
  </si>
  <si>
    <t>2024/04/03</t>
  </si>
  <si>
    <t>2024-03-16</t>
  </si>
  <si>
    <t>2024/11/11</t>
  </si>
  <si>
    <t>2024-08-24</t>
  </si>
  <si>
    <t>03-03-2024</t>
  </si>
  <si>
    <t>2024-07-16</t>
  </si>
  <si>
    <t>2024-08-18</t>
  </si>
  <si>
    <t>2024-11-17</t>
  </si>
  <si>
    <t>02-07-2024</t>
  </si>
  <si>
    <t>24-04-2024</t>
  </si>
  <si>
    <t>18-07-2024</t>
  </si>
  <si>
    <t>2024-04-13</t>
  </si>
  <si>
    <t>01-04-2024</t>
  </si>
  <si>
    <t>2024-04-10</t>
  </si>
  <si>
    <t>2024-05-28</t>
  </si>
  <si>
    <t>30-03-2024</t>
  </si>
  <si>
    <t>2024/05/29</t>
  </si>
  <si>
    <t>29-07-2024</t>
  </si>
  <si>
    <t>24-02-2024</t>
  </si>
  <si>
    <t>2024-10-14</t>
  </si>
  <si>
    <t>23-02-2024</t>
  </si>
  <si>
    <t>12-09-2024</t>
  </si>
  <si>
    <t>29-04-2024</t>
  </si>
  <si>
    <t>2024/10/07</t>
  </si>
  <si>
    <t>2024/03/16</t>
  </si>
  <si>
    <t>24-09-2024</t>
  </si>
  <si>
    <t>2024-10-22</t>
  </si>
  <si>
    <t>19-07-2024</t>
  </si>
  <si>
    <t>2024/02/08</t>
  </si>
  <si>
    <t>2024-11-13</t>
  </si>
  <si>
    <t>2024-03-29</t>
  </si>
  <si>
    <t>2024-10-08</t>
  </si>
  <si>
    <t>2024/05/31</t>
  </si>
  <si>
    <t>2024-12-29</t>
  </si>
  <si>
    <t>2024/04/17</t>
  </si>
  <si>
    <t>2024-04-05</t>
  </si>
  <si>
    <t>2024-08-23</t>
  </si>
  <si>
    <t>2024/05/21</t>
  </si>
  <si>
    <t>2024-03-12</t>
  </si>
  <si>
    <t>2024-08-28</t>
  </si>
  <si>
    <t>2024/08/28</t>
  </si>
  <si>
    <t>2024/09/25</t>
  </si>
  <si>
    <t>2024/11/18</t>
  </si>
  <si>
    <t>2024-02-09</t>
  </si>
  <si>
    <t>2024/02/06</t>
  </si>
  <si>
    <t>14-12-2024</t>
  </si>
  <si>
    <t>2024-12-01</t>
  </si>
  <si>
    <t>2024-06-08</t>
  </si>
  <si>
    <t>2024/08/11</t>
  </si>
  <si>
    <t>30-12-2024</t>
  </si>
  <si>
    <t>2024-08-09</t>
  </si>
  <si>
    <t>2024/07/11</t>
  </si>
  <si>
    <t>2024/09/07</t>
  </si>
  <si>
    <t>2024/02/27</t>
  </si>
  <si>
    <t>2024-09-27</t>
  </si>
  <si>
    <t>2024-09-13</t>
  </si>
  <si>
    <t>26-07-2024</t>
  </si>
  <si>
    <t>17-07-2024</t>
  </si>
  <si>
    <t>2024-07-24</t>
  </si>
  <si>
    <t>26-04-2024</t>
  </si>
  <si>
    <t>2024-04-04</t>
  </si>
  <si>
    <t>2024/02/10</t>
  </si>
  <si>
    <t>2024-07-20</t>
  </si>
  <si>
    <t>02-06-2024</t>
  </si>
  <si>
    <t>31-10-2024</t>
  </si>
  <si>
    <t>2024-07-22</t>
  </si>
  <si>
    <t>2024/01/12</t>
  </si>
  <si>
    <t>28-04-2024</t>
  </si>
  <si>
    <t>28-02-2024</t>
  </si>
  <si>
    <t>15-12-2024</t>
  </si>
  <si>
    <t>19-02-2024</t>
  </si>
  <si>
    <t>2024-09-18</t>
  </si>
  <si>
    <t>2024/08/12</t>
  </si>
  <si>
    <t>19-10-2024</t>
  </si>
  <si>
    <t>12-06-2024</t>
  </si>
  <si>
    <t>2024/12/15</t>
  </si>
  <si>
    <t>2024/10/10</t>
  </si>
  <si>
    <t>04-06-2024</t>
  </si>
  <si>
    <t>2024/10/08</t>
  </si>
  <si>
    <t>24-07-2024</t>
  </si>
  <si>
    <t>08-02-2024</t>
  </si>
  <si>
    <t>2024/10/27</t>
  </si>
  <si>
    <t>2024-06-05</t>
  </si>
  <si>
    <t>2024/04/23</t>
  </si>
  <si>
    <t>2024-10-15</t>
  </si>
  <si>
    <t>2024-11-19</t>
  </si>
  <si>
    <t>11-11-2024</t>
  </si>
  <si>
    <t>25-11-2024</t>
  </si>
  <si>
    <t>01-06-2024</t>
  </si>
  <si>
    <t>21-07-2024</t>
  </si>
  <si>
    <t>27-01-2024</t>
  </si>
  <si>
    <t>2024/03/30</t>
  </si>
  <si>
    <t>07-11-2024</t>
  </si>
  <si>
    <t>2024-06-21</t>
  </si>
  <si>
    <t>2024/01/10</t>
  </si>
  <si>
    <t>2024/08/29</t>
  </si>
  <si>
    <t>2024-10-19</t>
  </si>
  <si>
    <t>2024/09/14</t>
  </si>
  <si>
    <t>2024/10/06</t>
  </si>
  <si>
    <t>19-08-2024</t>
  </si>
  <si>
    <t>26-10-2024</t>
  </si>
  <si>
    <t>12-10-2024</t>
  </si>
  <si>
    <t>2024/04/15</t>
  </si>
  <si>
    <t>23-05-2024</t>
  </si>
  <si>
    <t>2024-10-12</t>
  </si>
  <si>
    <t>2024/08/13</t>
  </si>
  <si>
    <t>05-09-2024</t>
  </si>
  <si>
    <t>2024-05-22</t>
  </si>
  <si>
    <t>2024-08-03</t>
  </si>
  <si>
    <t>12-12-2024</t>
  </si>
  <si>
    <t>20-05-2024</t>
  </si>
  <si>
    <t>2024-02-12</t>
  </si>
  <si>
    <t>2024-09-23</t>
  </si>
  <si>
    <t>19-09-2024</t>
  </si>
  <si>
    <t>2024-11-03</t>
  </si>
  <si>
    <t>2024-06-03</t>
  </si>
  <si>
    <t>2024/07/31</t>
  </si>
  <si>
    <t>2024/11/03</t>
  </si>
  <si>
    <t>14-08-2024</t>
  </si>
  <si>
    <t>08-05-2024</t>
  </si>
  <si>
    <t>27-03-2024</t>
  </si>
  <si>
    <t>12-05-2024</t>
  </si>
  <si>
    <t>2024/02/20</t>
  </si>
  <si>
    <t>2024-10-18</t>
  </si>
  <si>
    <t>19-05-2024</t>
  </si>
  <si>
    <t>2024/10/04</t>
  </si>
  <si>
    <t>2024-05-01</t>
  </si>
  <si>
    <t>2024-10-28</t>
  </si>
  <si>
    <t>11-10-2024</t>
  </si>
  <si>
    <t>13-02-2024</t>
  </si>
  <si>
    <t>2024-10-21</t>
  </si>
  <si>
    <t>03-01-2024</t>
  </si>
  <si>
    <t>2024-08-17</t>
  </si>
  <si>
    <t>2024-01-24</t>
  </si>
  <si>
    <t>2024-04-18</t>
  </si>
  <si>
    <t>22-04-2024</t>
  </si>
  <si>
    <t>03-05-2024</t>
  </si>
  <si>
    <t>2024-02-26</t>
  </si>
  <si>
    <t>2024/06/11</t>
  </si>
  <si>
    <t>2024/03/10</t>
  </si>
  <si>
    <t>2024-07-14</t>
  </si>
  <si>
    <t>2024-07-17</t>
  </si>
  <si>
    <t>2024/03/27</t>
  </si>
  <si>
    <t>2024/06/09</t>
  </si>
  <si>
    <t>2024/03/01</t>
  </si>
  <si>
    <t>04-05-2024</t>
  </si>
  <si>
    <t>2024/02/18</t>
  </si>
  <si>
    <t>2024-08-19</t>
  </si>
  <si>
    <t>2024/03/06</t>
  </si>
  <si>
    <t>05-10-2024</t>
  </si>
  <si>
    <t>2024-10-23</t>
  </si>
  <si>
    <t>2024/09/24</t>
  </si>
  <si>
    <t>2024/08/07</t>
  </si>
  <si>
    <t>06-06-2024</t>
  </si>
  <si>
    <t>2024/01/25</t>
  </si>
  <si>
    <t>21-09-2024</t>
  </si>
  <si>
    <t>2024/08/05</t>
  </si>
  <si>
    <t>2024/09/28</t>
  </si>
  <si>
    <t>01-01-2024</t>
  </si>
  <si>
    <t>2024/07/25</t>
  </si>
  <si>
    <t>2024/02/07</t>
  </si>
  <si>
    <t>07-10-2024</t>
  </si>
  <si>
    <t>01-10-2024</t>
  </si>
  <si>
    <t>2024/07/21</t>
  </si>
  <si>
    <t>02-01-2024</t>
  </si>
  <si>
    <t>2024/06/20</t>
  </si>
  <si>
    <t>2024/03/05</t>
  </si>
  <si>
    <t>26-05-2024</t>
  </si>
  <si>
    <t>2024/12/13</t>
  </si>
  <si>
    <t>2024-12-26</t>
  </si>
  <si>
    <t>2024/05/15</t>
  </si>
  <si>
    <t>2024-12-18</t>
  </si>
  <si>
    <t>18-04-2024</t>
  </si>
  <si>
    <t>2024/12/12</t>
  </si>
  <si>
    <t>19-11-2024</t>
  </si>
  <si>
    <t>2024-08-30</t>
  </si>
  <si>
    <t>2024/07/28</t>
  </si>
  <si>
    <t>2024/04/02</t>
  </si>
  <si>
    <t>2024/11/16</t>
  </si>
  <si>
    <t>2024-10-20</t>
  </si>
  <si>
    <t>2024/07/06</t>
  </si>
  <si>
    <t>15-03-2024</t>
  </si>
  <si>
    <t>2024/01/07</t>
  </si>
  <si>
    <t>05-05-2024</t>
  </si>
  <si>
    <t>31-01-2024</t>
  </si>
  <si>
    <t>2024/06/03</t>
  </si>
  <si>
    <t>2024/09/01</t>
  </si>
  <si>
    <t>14-07-2024</t>
  </si>
  <si>
    <t>11-08-2024</t>
  </si>
  <si>
    <t>2024-02-11</t>
  </si>
  <si>
    <t>29-09-2024</t>
  </si>
  <si>
    <t>05-01-2024</t>
  </si>
  <si>
    <t>2024/05/19</t>
  </si>
  <si>
    <t>2024-01-12</t>
  </si>
  <si>
    <t>2024/08/15</t>
  </si>
  <si>
    <t>2024-08-29</t>
  </si>
  <si>
    <t>2024-01-22</t>
  </si>
  <si>
    <t>31-05-2024</t>
  </si>
  <si>
    <t>2024/01/30</t>
  </si>
  <si>
    <t>2024-07-06</t>
  </si>
  <si>
    <t>16-09-2024</t>
  </si>
  <si>
    <t>2024/12/23</t>
  </si>
  <si>
    <t>02-08-2024</t>
  </si>
  <si>
    <t>25-09-2024</t>
  </si>
  <si>
    <t>10-01-2024</t>
  </si>
  <si>
    <t>30-11-2024</t>
  </si>
  <si>
    <t>2024-12-03</t>
  </si>
  <si>
    <t>2024/09/30</t>
  </si>
  <si>
    <t>20-11-2024</t>
  </si>
  <si>
    <t>2024-04-09</t>
  </si>
  <si>
    <t>2024-08-05</t>
  </si>
  <si>
    <t>2024-01-16</t>
  </si>
  <si>
    <t>03-08-2024</t>
  </si>
  <si>
    <t>05-03-2024</t>
  </si>
  <si>
    <t>22-02-2024</t>
  </si>
  <si>
    <t>2024-04-20</t>
  </si>
  <si>
    <t>2024/06/29</t>
  </si>
  <si>
    <t>2024-05-14</t>
  </si>
  <si>
    <t>04-10-2024</t>
  </si>
  <si>
    <t>23-09-2024</t>
  </si>
  <si>
    <t>2024/04/11</t>
  </si>
  <si>
    <t>01-05-2024</t>
  </si>
  <si>
    <t>2024-09-16</t>
  </si>
  <si>
    <t>2024/01/08</t>
  </si>
  <si>
    <t>2024-07-05</t>
  </si>
  <si>
    <t>2024/06/04</t>
  </si>
  <si>
    <t>2024/03/31</t>
  </si>
  <si>
    <t>2024-04-02</t>
  </si>
  <si>
    <t>17-01-2024</t>
  </si>
  <si>
    <t>2024/08/24</t>
  </si>
  <si>
    <t>2024/11/19</t>
  </si>
  <si>
    <t>2024-06-12</t>
  </si>
  <si>
    <t>2024/10/29</t>
  </si>
  <si>
    <t>2024-08-15</t>
  </si>
  <si>
    <t>2024/07/20</t>
  </si>
  <si>
    <t>18-10-2024</t>
  </si>
  <si>
    <t>15-06-2024</t>
  </si>
  <si>
    <t>2024-09-01</t>
  </si>
  <si>
    <t>27-09-2024</t>
  </si>
  <si>
    <t>15-10-2024</t>
  </si>
  <si>
    <t>04-12-2024</t>
  </si>
  <si>
    <t>2024/03/20</t>
  </si>
  <si>
    <t>2024/11/23</t>
  </si>
  <si>
    <t>2024-04-06</t>
  </si>
  <si>
    <t>01-08-2024</t>
  </si>
  <si>
    <t>2024-01-14</t>
  </si>
  <si>
    <t>06-08-2024</t>
  </si>
  <si>
    <t>2024-06-14</t>
  </si>
  <si>
    <t>17-04-2024</t>
  </si>
  <si>
    <t>2024-03-13</t>
  </si>
  <si>
    <t>2024-06-02</t>
  </si>
  <si>
    <t>2024-05-17</t>
  </si>
  <si>
    <t>2024-02-23</t>
  </si>
  <si>
    <t>2024/09/04</t>
  </si>
  <si>
    <t>22-10-2024</t>
  </si>
  <si>
    <t>31-03-2024</t>
  </si>
  <si>
    <t>17-08-2024</t>
  </si>
  <si>
    <t>18-05-2024</t>
  </si>
  <si>
    <t>2024-05-12</t>
  </si>
  <si>
    <t>01-12-2024</t>
  </si>
  <si>
    <t>2024-03-27</t>
  </si>
  <si>
    <t>17-05-2024</t>
  </si>
  <si>
    <t>2024/05/06</t>
  </si>
  <si>
    <t>19-01-2024</t>
  </si>
  <si>
    <t>02-04-2024</t>
  </si>
  <si>
    <t>2024/03/11</t>
  </si>
  <si>
    <t>02-03-2024</t>
  </si>
  <si>
    <t>2024-01-25</t>
  </si>
  <si>
    <t>27-04-2024</t>
  </si>
  <si>
    <t>30-01-2024</t>
  </si>
  <si>
    <t>25-12-2024</t>
  </si>
  <si>
    <t>08-08-2024</t>
  </si>
  <si>
    <t>2024-02-29</t>
  </si>
  <si>
    <t>13-12-2024</t>
  </si>
  <si>
    <t>13-11-2024</t>
  </si>
  <si>
    <t>01-09-2024</t>
  </si>
  <si>
    <t>2024-06-26</t>
  </si>
  <si>
    <t>14-06-2024</t>
  </si>
  <si>
    <t>22-12-2024</t>
  </si>
  <si>
    <t>19-03-2024</t>
  </si>
  <si>
    <t>13-04-2024</t>
  </si>
  <si>
    <t>2024-05-19</t>
  </si>
  <si>
    <t>2024-09-09</t>
  </si>
  <si>
    <t>30-10-2024</t>
  </si>
  <si>
    <t>2024-01-19</t>
  </si>
  <si>
    <t>2024-07-01</t>
  </si>
  <si>
    <t>03-10-2024</t>
  </si>
  <si>
    <t>22-11-2024</t>
  </si>
  <si>
    <t>2024/04/21</t>
  </si>
  <si>
    <t>2024-09-12</t>
  </si>
  <si>
    <t>04-04-2024</t>
  </si>
  <si>
    <t>11-01-2024</t>
  </si>
  <si>
    <t>2024/12/25</t>
  </si>
  <si>
    <t>2024-05-04</t>
  </si>
  <si>
    <t>25-08-2024</t>
  </si>
  <si>
    <t>2024-03-22</t>
  </si>
  <si>
    <t>2024-11-10</t>
  </si>
  <si>
    <t>2024-01-13</t>
  </si>
  <si>
    <t>2024/09/29</t>
  </si>
  <si>
    <t>20-04-2024</t>
  </si>
  <si>
    <t>2024/05/28</t>
  </si>
  <si>
    <t>2024/02/22</t>
  </si>
  <si>
    <t>2024-01-28</t>
  </si>
  <si>
    <t>03-11-2024</t>
  </si>
  <si>
    <t>2024/05/16</t>
  </si>
  <si>
    <t>2024/03/07</t>
  </si>
  <si>
    <t>10-03-2024</t>
  </si>
  <si>
    <t>30-05-2024</t>
  </si>
  <si>
    <t>07-08-2024</t>
  </si>
  <si>
    <t>16-03-2024</t>
  </si>
  <si>
    <t>24-05-2024</t>
  </si>
  <si>
    <t>09-10-2024</t>
  </si>
  <si>
    <t>26-01-2024</t>
  </si>
  <si>
    <t>2024/01/13</t>
  </si>
  <si>
    <t>2024/11/22</t>
  </si>
  <si>
    <t>2024/08/26</t>
  </si>
  <si>
    <t>17-12-2024</t>
  </si>
  <si>
    <t>2024/05/01</t>
  </si>
  <si>
    <t>2024/04/05</t>
  </si>
  <si>
    <t>2024-10-25</t>
  </si>
  <si>
    <t>2024/01/22</t>
  </si>
  <si>
    <t>2024-02-16</t>
  </si>
  <si>
    <t>2024-11-09</t>
  </si>
  <si>
    <t>2024-03-25</t>
  </si>
  <si>
    <t>2024/02/23</t>
  </si>
  <si>
    <t>10-11-2024</t>
  </si>
  <si>
    <t>2024-05-20</t>
  </si>
  <si>
    <t>28-06-2024</t>
  </si>
  <si>
    <t>2024/03/04</t>
  </si>
  <si>
    <t>2024-11-30</t>
  </si>
  <si>
    <t>07-06-2024</t>
  </si>
  <si>
    <t>2024-05-09</t>
  </si>
  <si>
    <t>06-12-2024</t>
  </si>
  <si>
    <t>29-06-2024</t>
  </si>
  <si>
    <t>2024-07-13</t>
  </si>
  <si>
    <t>2024/06/14</t>
  </si>
  <si>
    <t>2024/02/11</t>
  </si>
  <si>
    <t>2024-12-17</t>
  </si>
  <si>
    <t>2024/04/19</t>
  </si>
  <si>
    <t>2024-02-05</t>
  </si>
  <si>
    <t>27-05-2024</t>
  </si>
  <si>
    <t>2024/08/18</t>
  </si>
  <si>
    <t>09-12-2024</t>
  </si>
  <si>
    <t>2024-02-15</t>
  </si>
  <si>
    <t>2024/07/26</t>
  </si>
  <si>
    <t>16-02-2024</t>
  </si>
  <si>
    <t>2024/06/17</t>
  </si>
  <si>
    <t>23-08-2024</t>
  </si>
  <si>
    <t>07-07-2024</t>
  </si>
  <si>
    <t>2024/05/25</t>
  </si>
  <si>
    <t>2024-02-08</t>
  </si>
  <si>
    <t>09-08-2024</t>
  </si>
  <si>
    <t>2024-03-10</t>
  </si>
  <si>
    <t>2024/02/02</t>
  </si>
  <si>
    <t>2024/01/29</t>
  </si>
  <si>
    <t>25-01-2024</t>
  </si>
  <si>
    <t>2024/09/21</t>
  </si>
  <si>
    <t>07-09-2024</t>
  </si>
  <si>
    <t>2024-01-06</t>
  </si>
  <si>
    <t>2024/11/28</t>
  </si>
  <si>
    <t>2024/11/29</t>
  </si>
  <si>
    <t>2024/05/20</t>
  </si>
  <si>
    <t>08-06-2024</t>
  </si>
  <si>
    <t>06-01-2024</t>
  </si>
  <si>
    <t>06-03-2024</t>
  </si>
  <si>
    <t>28-11-2024</t>
  </si>
  <si>
    <t>2024-08-01</t>
  </si>
  <si>
    <t>28-03-2024</t>
  </si>
  <si>
    <t>2024-12-09</t>
  </si>
  <si>
    <t>2024-08-13</t>
  </si>
  <si>
    <t>2024/12/01</t>
  </si>
  <si>
    <t>24-11-2024</t>
  </si>
  <si>
    <t>27-06-2024</t>
  </si>
  <si>
    <t>04-02-2024</t>
  </si>
  <si>
    <t>2024-09-02</t>
  </si>
  <si>
    <t>24-10-2024</t>
  </si>
  <si>
    <t>2024-08-11</t>
  </si>
  <si>
    <t>2024/01/24</t>
  </si>
  <si>
    <t>2024/09/12</t>
  </si>
  <si>
    <t>2024/04/07</t>
  </si>
  <si>
    <t>11-05-2024</t>
  </si>
  <si>
    <t>14-04-2024</t>
  </si>
  <si>
    <t>2024/06/10</t>
  </si>
  <si>
    <t>06-07-2024</t>
  </si>
  <si>
    <t>06-09-2024</t>
  </si>
  <si>
    <t>2024-03-08</t>
  </si>
  <si>
    <t>27-11-2024</t>
  </si>
  <si>
    <t>24-01-2024</t>
  </si>
  <si>
    <t>2024-07-30</t>
  </si>
  <si>
    <t>20-10-2024</t>
  </si>
  <si>
    <t>17-10-2024</t>
  </si>
  <si>
    <t>2024/01/16</t>
  </si>
  <si>
    <t>2024/06/19</t>
  </si>
  <si>
    <t>2024/01/23</t>
  </si>
  <si>
    <t>2024-01-03</t>
  </si>
  <si>
    <t>2024-11-15</t>
  </si>
  <si>
    <t>2024/07/01</t>
  </si>
  <si>
    <t>2024-01-17</t>
  </si>
  <si>
    <t>2024-04-17</t>
  </si>
  <si>
    <t>2024/10/30</t>
  </si>
  <si>
    <t>2024-10-30</t>
  </si>
  <si>
    <t>2024-05-24</t>
  </si>
  <si>
    <t>2024-04-30</t>
  </si>
  <si>
    <t>2024-12-27</t>
  </si>
  <si>
    <t>19-04-2024</t>
  </si>
  <si>
    <t>2024/12/08</t>
  </si>
  <si>
    <t>2024/11/04</t>
  </si>
  <si>
    <t>2024/10/11</t>
  </si>
  <si>
    <t>10-09-2024</t>
  </si>
  <si>
    <t>2024/12/27</t>
  </si>
  <si>
    <t>2024-08-31</t>
  </si>
  <si>
    <t>2024/03/18</t>
  </si>
  <si>
    <t>2024/11/02</t>
  </si>
  <si>
    <t>04-01-2024</t>
  </si>
  <si>
    <t>2024-09-11</t>
  </si>
  <si>
    <t>2024-08-26</t>
  </si>
  <si>
    <t>2024/05/03</t>
  </si>
  <si>
    <t>2024/03/24</t>
  </si>
  <si>
    <t>2024/02/14</t>
  </si>
  <si>
    <t>2024-04-26</t>
  </si>
  <si>
    <t>2024/02/26</t>
  </si>
  <si>
    <t>18-11-2024</t>
  </si>
  <si>
    <t>2024-07-09</t>
  </si>
  <si>
    <t>2024/07/15</t>
  </si>
  <si>
    <t>26-02-2024</t>
  </si>
  <si>
    <t>2024-01-27</t>
  </si>
  <si>
    <t>2024/01/17</t>
  </si>
  <si>
    <t>2024/01/03</t>
  </si>
  <si>
    <t>2024/11/17</t>
  </si>
  <si>
    <t>24-06-2024</t>
  </si>
  <si>
    <t>24-03-2024</t>
  </si>
  <si>
    <t>25-04-2024</t>
  </si>
  <si>
    <t>2024/08/30</t>
  </si>
  <si>
    <t>05-11-2024</t>
  </si>
  <si>
    <t>2024/01/11</t>
  </si>
  <si>
    <t>2024-11-21</t>
  </si>
  <si>
    <t>12-04-2024</t>
  </si>
  <si>
    <t>2024-06-24</t>
  </si>
  <si>
    <t>2024/11/20</t>
  </si>
  <si>
    <t>2024/10/18</t>
  </si>
  <si>
    <t>2024/01/02</t>
  </si>
  <si>
    <t>2024/09/03</t>
  </si>
  <si>
    <t>27-12-2024</t>
  </si>
  <si>
    <t>2024-01-08</t>
  </si>
  <si>
    <t>23-04-2024</t>
  </si>
  <si>
    <t>2024-10-01</t>
  </si>
  <si>
    <t>2024-06-18</t>
  </si>
  <si>
    <t>2024/12/17</t>
  </si>
  <si>
    <t>23-07-2024</t>
  </si>
  <si>
    <t>04-07-2024</t>
  </si>
  <si>
    <t>2024-04-01</t>
  </si>
  <si>
    <t>2024-12-21</t>
  </si>
  <si>
    <t>2024-07-26</t>
  </si>
  <si>
    <t>2024/06/06</t>
  </si>
  <si>
    <t>2024-04-03</t>
  </si>
  <si>
    <t>2024-01-02</t>
  </si>
  <si>
    <t>2024/02/17</t>
  </si>
  <si>
    <t>2024/06/23</t>
  </si>
  <si>
    <t>2024/09/10</t>
  </si>
  <si>
    <t>2024/01/15</t>
  </si>
  <si>
    <t>2024-03-19</t>
  </si>
  <si>
    <t>2024-07-07</t>
  </si>
  <si>
    <t>28-09-2024</t>
  </si>
  <si>
    <t>15-09-2024</t>
  </si>
  <si>
    <t>2024/04/30</t>
  </si>
  <si>
    <t>2024-12-12</t>
  </si>
  <si>
    <t>30-06-2024</t>
  </si>
  <si>
    <t>09-04-2024</t>
  </si>
  <si>
    <t>2024/12/29</t>
  </si>
  <si>
    <t>2024-11-26</t>
  </si>
  <si>
    <t>2024/10/21</t>
  </si>
  <si>
    <t>2024-11-01</t>
  </si>
  <si>
    <t>07-03-2024</t>
  </si>
  <si>
    <t>2024/08/16</t>
  </si>
  <si>
    <t>30-09-2024</t>
  </si>
  <si>
    <t>2024-06-11</t>
  </si>
  <si>
    <t>04-11-2024</t>
  </si>
  <si>
    <t>2024/05/11</t>
  </si>
  <si>
    <t>2024-08-08</t>
  </si>
  <si>
    <t>29-08-2024</t>
  </si>
  <si>
    <t>2024/10/28</t>
  </si>
  <si>
    <t>2024/08/06</t>
  </si>
  <si>
    <t>2024/08/08</t>
  </si>
  <si>
    <t>04-09-2024</t>
  </si>
  <si>
    <t>2024/11/07</t>
  </si>
  <si>
    <t>23-12-2024</t>
  </si>
  <si>
    <t>2024/05/22</t>
  </si>
  <si>
    <t>2024/09/26</t>
  </si>
  <si>
    <t>06-02-2024</t>
  </si>
  <si>
    <t>2024-01-20</t>
  </si>
  <si>
    <t>15-02-2024</t>
  </si>
  <si>
    <t>2024/05/24</t>
  </si>
  <si>
    <t>23-03-2024</t>
  </si>
  <si>
    <t>2024/11/24</t>
  </si>
  <si>
    <t>2024-01-15</t>
  </si>
  <si>
    <t>2024-03-11</t>
  </si>
  <si>
    <t>13-10-2024</t>
  </si>
  <si>
    <t>2024/06/15</t>
  </si>
  <si>
    <t>2024-12-05</t>
  </si>
  <si>
    <t>29-05-2024</t>
  </si>
  <si>
    <t>26-08-2024</t>
  </si>
  <si>
    <t>21-12-2024</t>
  </si>
  <si>
    <t>22-01-2024</t>
  </si>
  <si>
    <t>2024-08-14</t>
  </si>
  <si>
    <t>2024/09/09</t>
  </si>
  <si>
    <t>14-11-2024</t>
  </si>
  <si>
    <t>22-03-2024</t>
  </si>
  <si>
    <t>2024-10-04</t>
  </si>
  <si>
    <t>2024-12-16</t>
  </si>
  <si>
    <t>25-02-2024</t>
  </si>
  <si>
    <t>2024-04-19</t>
  </si>
  <si>
    <t>17-03-2024</t>
  </si>
  <si>
    <t>15-11-2024</t>
  </si>
  <si>
    <t>22-07-2024</t>
  </si>
  <si>
    <t>21-10-2024</t>
  </si>
  <si>
    <t>2024-02-02</t>
  </si>
  <si>
    <t>10-08-2024</t>
  </si>
  <si>
    <t>2024-11-12</t>
  </si>
  <si>
    <t>2024-10-07</t>
  </si>
  <si>
    <t>2024-10-03</t>
  </si>
  <si>
    <t>2024-11-14</t>
  </si>
  <si>
    <t>2024/06/07</t>
  </si>
  <si>
    <t>2024-05-11</t>
  </si>
  <si>
    <t>09-09-2024</t>
  </si>
  <si>
    <t>2024-05-18</t>
  </si>
  <si>
    <t>03-04-2024</t>
  </si>
  <si>
    <t>13-03-2024</t>
  </si>
  <si>
    <t>12-08-2024</t>
  </si>
  <si>
    <t>2024/07/17</t>
  </si>
  <si>
    <t>2024/11/12</t>
  </si>
  <si>
    <t>2024-03-07</t>
  </si>
  <si>
    <t>2024-12-14</t>
  </si>
  <si>
    <t>02-11-2024</t>
  </si>
  <si>
    <t>25-06-2024</t>
  </si>
  <si>
    <t>2024/12/11</t>
  </si>
  <si>
    <t>12-07-2024</t>
  </si>
  <si>
    <t>21-02-2024</t>
  </si>
  <si>
    <t>18-08-2024</t>
  </si>
  <si>
    <t>27-02-2024</t>
  </si>
  <si>
    <t>2024-07-31</t>
  </si>
  <si>
    <t>2024-12-28</t>
  </si>
  <si>
    <t>2024-08-22</t>
  </si>
  <si>
    <t>2024/06/28</t>
  </si>
  <si>
    <t>02-05-2024</t>
  </si>
  <si>
    <t>28-05-2024</t>
  </si>
  <si>
    <t>2024/07/14</t>
  </si>
  <si>
    <t>2024/05/17</t>
  </si>
  <si>
    <t>2024-08-04</t>
  </si>
  <si>
    <t>14-03-2024</t>
  </si>
  <si>
    <t>23-10-2024</t>
  </si>
  <si>
    <t>2024/03/29</t>
  </si>
  <si>
    <t>2024/07/19</t>
  </si>
  <si>
    <t>12-11-2024</t>
  </si>
  <si>
    <t>2024-04-24</t>
  </si>
  <si>
    <t>21-03-2024</t>
  </si>
  <si>
    <t>16-06-2024</t>
  </si>
  <si>
    <t>2024/07/24</t>
  </si>
  <si>
    <t>2024/08/03</t>
  </si>
  <si>
    <t>2024-01-21</t>
  </si>
  <si>
    <t>08-03-2024</t>
  </si>
  <si>
    <t>2024-02-24</t>
  </si>
  <si>
    <t>2024/09/16</t>
  </si>
  <si>
    <t>2024-05-10</t>
  </si>
  <si>
    <t>25-03-2024</t>
  </si>
  <si>
    <t>2024-01-04</t>
  </si>
  <si>
    <t>2024-07-28</t>
  </si>
  <si>
    <t>23-01-2024</t>
  </si>
  <si>
    <t>14-09-2024</t>
  </si>
  <si>
    <t>2024/05/10</t>
  </si>
  <si>
    <t>2024-11-11</t>
  </si>
  <si>
    <t>2024-09-26</t>
  </si>
  <si>
    <t>2024/02/09</t>
  </si>
  <si>
    <t>2024/11/26</t>
  </si>
  <si>
    <t>28-01-2024</t>
  </si>
  <si>
    <t>11-09-2024</t>
  </si>
  <si>
    <t>10-10-2024</t>
  </si>
  <si>
    <t>18-12-2024</t>
  </si>
  <si>
    <t>25-07-2024</t>
  </si>
  <si>
    <t>2024-02-04</t>
  </si>
  <si>
    <t>22-08-2024</t>
  </si>
  <si>
    <t>2024/03/19</t>
  </si>
  <si>
    <t>2024-05-30</t>
  </si>
  <si>
    <t>2024-06-01</t>
  </si>
  <si>
    <t>2024-07-18</t>
  </si>
  <si>
    <t>2024-01-29</t>
  </si>
  <si>
    <t>16-08-2024</t>
  </si>
  <si>
    <t>16-01-2024</t>
  </si>
  <si>
    <t>2024-05-02</t>
  </si>
  <si>
    <t>21-08-2024</t>
  </si>
  <si>
    <t>2024/12/06</t>
  </si>
  <si>
    <t>2024/01/01</t>
  </si>
  <si>
    <t>08-09-2024</t>
  </si>
  <si>
    <t>2024/02/03</t>
  </si>
  <si>
    <t>26-03-2024</t>
  </si>
  <si>
    <t>2024-11-04</t>
  </si>
  <si>
    <t>2024/08/09</t>
  </si>
  <si>
    <t>2024/07/29</t>
  </si>
  <si>
    <t>29-11-2024</t>
  </si>
  <si>
    <t>2024/05/18</t>
  </si>
  <si>
    <t>2024/06/12</t>
  </si>
  <si>
    <t>2024-10-26</t>
  </si>
  <si>
    <t>30-08-2024</t>
  </si>
  <si>
    <t>07-02-2024</t>
  </si>
  <si>
    <t>21-06-2024</t>
  </si>
  <si>
    <t>29-02-2024</t>
  </si>
  <si>
    <t>17-02-2024</t>
  </si>
  <si>
    <t>18-02-2024</t>
  </si>
  <si>
    <t>10-05-2024</t>
  </si>
  <si>
    <t>26-11-2024</t>
  </si>
  <si>
    <t>22-09-2024</t>
  </si>
  <si>
    <t>2024/05/26</t>
  </si>
  <si>
    <t>2024/12/18</t>
  </si>
  <si>
    <t>2024-11-27</t>
  </si>
  <si>
    <t>2024-03-31</t>
  </si>
  <si>
    <t>2024-10-13</t>
  </si>
  <si>
    <t>09-05-2024</t>
  </si>
  <si>
    <t>26-09-2024</t>
  </si>
  <si>
    <t>2024/04/26</t>
  </si>
  <si>
    <t>2024/10/22</t>
  </si>
  <si>
    <t>2024-06-20</t>
  </si>
  <si>
    <t>Row Labels</t>
  </si>
  <si>
    <t>(blank)</t>
  </si>
  <si>
    <t>Grand Total</t>
  </si>
  <si>
    <t>Count of Region</t>
  </si>
  <si>
    <t>Average of Revenue</t>
  </si>
  <si>
    <t>TOTAL SALES</t>
  </si>
  <si>
    <t>Sum of Revenue</t>
  </si>
  <si>
    <t>Unknown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</si>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</sst>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[large_sample_data_analytics_dataset.xlsx]Sheet3!PivotTable6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275</c:v>
                </c:pt>
                <c:pt idx="1">
                  <c:v>292</c:v>
                </c:pt>
                <c:pt idx="2">
                  <c:v>299</c:v>
                </c:pt>
                <c:pt idx="3">
                  <c:v>289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30525088"/>
        <c:axId val="-1830521280"/>
      </c:barChart>
      <c:catAx>
        <c:axId val="-183052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0521280"/>
        <c:crosses val="autoZero"/>
        <c:auto val="1"/>
        <c:lblAlgn val="ctr"/>
        <c:lblOffset val="100"/>
        <c:noMultiLvlLbl val="0"/>
      </c:catAx>
      <c:valAx>
        <c:axId val="-183052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052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[large_sample_data_analytics_dataset.xlsx]Data_Analysis!PivotTable1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Data_Analysis!$B$4:$B$8</c:f>
              <c:numCache>
                <c:formatCode>General</c:formatCode>
                <c:ptCount val="4"/>
                <c:pt idx="0">
                  <c:v>275</c:v>
                </c:pt>
                <c:pt idx="1">
                  <c:v>292</c:v>
                </c:pt>
                <c:pt idx="2">
                  <c:v>344</c:v>
                </c:pt>
                <c:pt idx="3">
                  <c:v>289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30527264"/>
        <c:axId val="-2026067360"/>
      </c:barChart>
      <c:catAx>
        <c:axId val="-183052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26067360"/>
        <c:crosses val="autoZero"/>
        <c:auto val="1"/>
        <c:lblAlgn val="ctr"/>
        <c:lblOffset val="100"/>
        <c:noMultiLvlLbl val="0"/>
      </c:catAx>
      <c:valAx>
        <c:axId val="-202606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052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[large_sample_data_analytics_dataset.xlsx]Data_Analysis!PivotTable3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Products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Data_Analysis!$L$3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Data_Analysis!$K$4:$K$10</c:f>
              <c:strCache>
                <c:ptCount val="6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Tablet</c:v>
                </c:pt>
                <c:pt idx="5">
                  <c:v>Unknown</c:v>
                </c:pt>
              </c:strCache>
            </c:strRef>
          </c:cat>
          <c:val>
            <c:numRef>
              <c:f>Data_Analysis!$L$4:$L$10</c:f>
              <c:numCache>
                <c:formatCode>General</c:formatCode>
                <c:ptCount val="6"/>
                <c:pt idx="0">
                  <c:v>6509041.121290002</c:v>
                </c:pt>
                <c:pt idx="1">
                  <c:v>6579854.8138999986</c:v>
                </c:pt>
                <c:pt idx="2">
                  <c:v>6531293.3138999967</c:v>
                </c:pt>
                <c:pt idx="3">
                  <c:v>7333008.5186800007</c:v>
                </c:pt>
                <c:pt idx="4">
                  <c:v>7450700.5686799986</c:v>
                </c:pt>
                <c:pt idx="5">
                  <c:v>2119070.5295599997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67867856"/>
        <c:axId val="-1667883088"/>
      </c:barChart>
      <c:catAx>
        <c:axId val="-166786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67883088"/>
        <c:crosses val="autoZero"/>
        <c:auto val="1"/>
        <c:lblAlgn val="ctr"/>
        <c:lblOffset val="100"/>
        <c:noMultiLvlLbl val="0"/>
      </c:catAx>
      <c:valAx>
        <c:axId val="-166788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6786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0</xdr:rowOff>
    </xdr:from>
    <xdr:to>
      <xdr:col>11</xdr:col>
      <xdr:colOff>190500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156210</xdr:rowOff>
    </xdr:from>
    <xdr:to>
      <xdr:col>9</xdr:col>
      <xdr:colOff>411480</xdr:colOff>
      <xdr:row>16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220980</xdr:colOff>
      <xdr:row>1</xdr:row>
      <xdr:rowOff>167640</xdr:rowOff>
    </xdr:from>
    <xdr:to>
      <xdr:col>18</xdr:col>
      <xdr:colOff>327660</xdr:colOff>
      <xdr:row>16</xdr:row>
      <xdr:rowOff>64770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27.060410995371" createdVersion="5" refreshedVersion="5" minRefreshableVersion="3" recordCount="1200">
  <cacheSource type="worksheet">
    <worksheetSource ref="A1:E1201" sheet="Raw_Data"/>
  </cacheSource>
  <cacheFields count="5">
    <cacheField name="Order_ID" numFmtId="0">
      <sharedItems containsSemiMixedTypes="0" containsString="0" containsNumber="1" containsInteger="1" minValue="1000" maxValue="2199"/>
    </cacheField>
    <cacheField name="Product" numFmtId="0">
      <sharedItems containsBlank="1"/>
    </cacheField>
    <cacheField name="Region" numFmtId="0">
      <sharedItems containsBlank="1" count="5">
        <s v="South"/>
        <s v="East"/>
        <s v="West"/>
        <s v="North"/>
        <m/>
      </sharedItems>
    </cacheField>
    <cacheField name="Revenue" numFmtId="0">
      <sharedItems containsString="0" containsBlank="1" containsNumber="1" minValue="1011.01" maxValue="59961.86"/>
    </cacheField>
    <cacheField name="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127.565407060189" createdVersion="5" refreshedVersion="5" minRefreshableVersion="3" recordCount="1200">
  <cacheSource type="worksheet">
    <worksheetSource ref="A1:E1201" sheet="Cleaned_Data"/>
  </cacheSource>
  <cacheFields count="5">
    <cacheField name="Order_ID" numFmtId="0">
      <sharedItems containsSemiMixedTypes="0" containsString="0" containsNumber="1" containsInteger="1" minValue="1000" maxValue="2199"/>
    </cacheField>
    <cacheField name="Product" numFmtId="0">
      <sharedItems count="6">
        <s v="Monitor"/>
        <s v="Laptop"/>
        <s v="Tablet"/>
        <s v="Mouse"/>
        <s v="Unknown"/>
        <s v="Keyboard"/>
      </sharedItems>
    </cacheField>
    <cacheField name="Region" numFmtId="0">
      <sharedItems count="4">
        <s v="South"/>
        <s v="East"/>
        <s v="West"/>
        <s v="North"/>
      </sharedItems>
    </cacheField>
    <cacheField name="Revenue" numFmtId="0">
      <sharedItems containsSemiMixedTypes="0" containsString="0" containsNumber="1" minValue="1011.01" maxValue="59961.86"/>
    </cacheField>
    <cacheField name="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n v="1000"/>
    <s v="Monitor"/>
    <x v="0"/>
    <n v="10205.1"/>
    <s v="2024/08/02"/>
  </r>
  <r>
    <n v="1001"/>
    <s v="Laptop"/>
    <x v="1"/>
    <m/>
    <s v="2024-09-14"/>
  </r>
  <r>
    <n v="1084"/>
    <s v="Laptop"/>
    <x v="2"/>
    <n v="1416.91"/>
    <s v="2024/12/10"/>
  </r>
  <r>
    <n v="1003"/>
    <s v="Laptop"/>
    <x v="3"/>
    <n v="27908.13"/>
    <s v="23-06-2024"/>
  </r>
  <r>
    <n v="1004"/>
    <s v="Tablet"/>
    <x v="0"/>
    <n v="27579.46"/>
    <s v="2024-09-30"/>
  </r>
  <r>
    <n v="1005"/>
    <s v="Mouse"/>
    <x v="2"/>
    <n v="26969"/>
    <s v="2024/09/20"/>
  </r>
  <r>
    <n v="1006"/>
    <s v="Tablet"/>
    <x v="1"/>
    <n v="31684.01"/>
    <s v="15-04-2024"/>
  </r>
  <r>
    <n v="1007"/>
    <s v="Mouse"/>
    <x v="1"/>
    <n v="43909.05"/>
    <s v="2024/09/27"/>
  </r>
  <r>
    <n v="1008"/>
    <m/>
    <x v="1"/>
    <n v="17009.59"/>
    <s v="2024-02-22"/>
  </r>
  <r>
    <n v="1009"/>
    <s v="Tablet"/>
    <x v="2"/>
    <n v="1922.55"/>
    <s v="09-01-2024"/>
  </r>
  <r>
    <n v="1542"/>
    <s v="Keyboard"/>
    <x v="3"/>
    <n v="46504.95"/>
    <s v="2024-09-17"/>
  </r>
  <r>
    <n v="1011"/>
    <s v="Laptop"/>
    <x v="3"/>
    <n v="22878.28"/>
    <s v="2024-03-02"/>
  </r>
  <r>
    <n v="1012"/>
    <s v="Laptop"/>
    <x v="3"/>
    <n v="43081.440000000002"/>
    <s v="13-09-2024"/>
  </r>
  <r>
    <n v="1013"/>
    <m/>
    <x v="2"/>
    <n v="26920.85"/>
    <s v="2024/06/27"/>
  </r>
  <r>
    <n v="1014"/>
    <s v="Laptop"/>
    <x v="2"/>
    <n v="15708.24"/>
    <s v="24-08-2024"/>
  </r>
  <r>
    <n v="1015"/>
    <s v="Laptop"/>
    <x v="1"/>
    <n v="37836.89"/>
    <s v="2024-03-02"/>
  </r>
  <r>
    <n v="1016"/>
    <s v="Tablet"/>
    <x v="0"/>
    <n v="48638.97"/>
    <s v="2024-12-13"/>
  </r>
  <r>
    <n v="1017"/>
    <s v="Keyboard"/>
    <x v="4"/>
    <n v="18982.09"/>
    <s v="16-07-2024"/>
  </r>
  <r>
    <n v="1018"/>
    <s v="Laptop"/>
    <x v="3"/>
    <n v="20068.97"/>
    <s v="05-04-2024"/>
  </r>
  <r>
    <n v="1019"/>
    <s v="Laptop"/>
    <x v="3"/>
    <n v="43023.96"/>
    <s v="2024/04/10"/>
  </r>
  <r>
    <n v="1020"/>
    <s v="Monitor"/>
    <x v="1"/>
    <n v="17440.14"/>
    <s v="2024-08-12"/>
  </r>
  <r>
    <n v="1021"/>
    <s v="Laptop"/>
    <x v="0"/>
    <n v="5770.35"/>
    <s v="2024/07/02"/>
  </r>
  <r>
    <n v="1022"/>
    <s v="Monitor"/>
    <x v="1"/>
    <n v="32610.71"/>
    <s v="27-08-2024"/>
  </r>
  <r>
    <n v="1023"/>
    <s v="Mouse"/>
    <x v="2"/>
    <n v="13994.22"/>
    <s v="11-12-2024"/>
  </r>
  <r>
    <n v="1024"/>
    <s v="Mouse"/>
    <x v="3"/>
    <n v="56267.07"/>
    <s v="2024-05-08"/>
  </r>
  <r>
    <n v="1025"/>
    <s v="Mouse"/>
    <x v="1"/>
    <n v="11322.34"/>
    <s v="21-04-2024"/>
  </r>
  <r>
    <n v="1026"/>
    <s v="Keyboard"/>
    <x v="0"/>
    <n v="38352.99"/>
    <s v="2024/01/09"/>
  </r>
  <r>
    <n v="1027"/>
    <s v="Keyboard"/>
    <x v="3"/>
    <n v="53378.44"/>
    <s v="2024/04/25"/>
  </r>
  <r>
    <n v="1028"/>
    <s v="Tablet"/>
    <x v="1"/>
    <m/>
    <s v="08-04-2024"/>
  </r>
  <r>
    <n v="1029"/>
    <s v="Monitor"/>
    <x v="0"/>
    <n v="11379.59"/>
    <s v="2024/03/08"/>
  </r>
  <r>
    <n v="1030"/>
    <s v="Keyboard"/>
    <x v="3"/>
    <n v="39799.160000000003"/>
    <s v="02-02-2024"/>
  </r>
  <r>
    <n v="1031"/>
    <s v="Monitor"/>
    <x v="2"/>
    <n v="29717.79"/>
    <s v="2024-09-20"/>
  </r>
  <r>
    <n v="1032"/>
    <s v="Monitor"/>
    <x v="2"/>
    <n v="43624.67"/>
    <s v="2024-05-26"/>
  </r>
  <r>
    <n v="1033"/>
    <s v="Keyboard"/>
    <x v="0"/>
    <n v="53126.15"/>
    <s v="20-08-2024"/>
  </r>
  <r>
    <n v="1034"/>
    <s v="Mouse"/>
    <x v="3"/>
    <n v="19036.12"/>
    <s v="09-06-2024"/>
  </r>
  <r>
    <n v="1035"/>
    <s v="Keyboard"/>
    <x v="0"/>
    <n v="6733.41"/>
    <s v="14-10-2024"/>
  </r>
  <r>
    <n v="1036"/>
    <s v="Keyboard"/>
    <x v="0"/>
    <n v="9060.66"/>
    <s v="02-09-2024"/>
  </r>
  <r>
    <n v="1037"/>
    <s v="Mouse"/>
    <x v="0"/>
    <n v="31169.200000000001"/>
    <s v="08-11-2024"/>
  </r>
  <r>
    <n v="1038"/>
    <s v="Monitor"/>
    <x v="1"/>
    <n v="2629.39"/>
    <s v="2024/12/19"/>
  </r>
  <r>
    <n v="1039"/>
    <m/>
    <x v="1"/>
    <n v="17905.93"/>
    <s v="09-11-2024"/>
  </r>
  <r>
    <n v="1040"/>
    <s v="Mouse"/>
    <x v="1"/>
    <n v="49844.27"/>
    <s v="2024/02/29"/>
  </r>
  <r>
    <n v="1041"/>
    <s v="Laptop"/>
    <x v="1"/>
    <n v="32897.47"/>
    <s v="2024/11/06"/>
  </r>
  <r>
    <n v="1042"/>
    <s v="Tablet"/>
    <x v="1"/>
    <m/>
    <s v="2024/04/29"/>
  </r>
  <r>
    <n v="1043"/>
    <s v="Monitor"/>
    <x v="4"/>
    <n v="50322.83"/>
    <s v="2024/05/08"/>
  </r>
  <r>
    <n v="1044"/>
    <s v="Laptop"/>
    <x v="2"/>
    <n v="39951.65"/>
    <s v="2024-09-28"/>
  </r>
  <r>
    <n v="1045"/>
    <s v="Keyboard"/>
    <x v="4"/>
    <n v="10360.14"/>
    <s v="2024/03/26"/>
  </r>
  <r>
    <n v="1046"/>
    <m/>
    <x v="4"/>
    <n v="42515.81"/>
    <s v="2024/07/22"/>
  </r>
  <r>
    <n v="1047"/>
    <s v="Laptop"/>
    <x v="2"/>
    <n v="39336.65"/>
    <s v="2024-09-06"/>
  </r>
  <r>
    <n v="1048"/>
    <s v="Keyboard"/>
    <x v="3"/>
    <n v="51532.9"/>
    <s v="2024-11-20"/>
  </r>
  <r>
    <n v="1049"/>
    <s v="Tablet"/>
    <x v="2"/>
    <n v="48256.01"/>
    <s v="26-06-2024"/>
  </r>
  <r>
    <n v="1050"/>
    <s v="Mouse"/>
    <x v="2"/>
    <n v="39437.599999999999"/>
    <s v="2024/02/12"/>
  </r>
  <r>
    <n v="1051"/>
    <s v="Tablet"/>
    <x v="4"/>
    <n v="41297.4"/>
    <s v="02-12-2024"/>
  </r>
  <r>
    <n v="1052"/>
    <s v="Monitor"/>
    <x v="2"/>
    <n v="41880.53"/>
    <s v="2024-04-23"/>
  </r>
  <r>
    <n v="1053"/>
    <s v="Tablet"/>
    <x v="0"/>
    <n v="45286.27"/>
    <s v="2024-07-10"/>
  </r>
  <r>
    <n v="1054"/>
    <s v="Monitor"/>
    <x v="3"/>
    <n v="34150.129999999997"/>
    <s v="2024-09-24"/>
  </r>
  <r>
    <n v="1055"/>
    <s v="Tablet"/>
    <x v="2"/>
    <n v="49760.99"/>
    <s v="2024/12/07"/>
  </r>
  <r>
    <n v="1056"/>
    <s v="Keyboard"/>
    <x v="3"/>
    <n v="21939.41"/>
    <s v="2024-10-10"/>
  </r>
  <r>
    <n v="1057"/>
    <s v="Keyboard"/>
    <x v="0"/>
    <n v="20391.21"/>
    <s v="2024-02-22"/>
  </r>
  <r>
    <n v="1058"/>
    <s v="Tablet"/>
    <x v="0"/>
    <n v="27050.3"/>
    <s v="2024-08-02"/>
  </r>
  <r>
    <n v="1059"/>
    <s v="Laptop"/>
    <x v="3"/>
    <n v="50470.37"/>
    <s v="22-06-2024"/>
  </r>
  <r>
    <n v="1060"/>
    <s v="Laptop"/>
    <x v="1"/>
    <n v="59211.74"/>
    <s v="2024-12-30"/>
  </r>
  <r>
    <n v="1061"/>
    <s v="Laptop"/>
    <x v="3"/>
    <n v="5926.54"/>
    <s v="29-12-2024"/>
  </r>
  <r>
    <n v="1062"/>
    <s v="Keyboard"/>
    <x v="2"/>
    <m/>
    <s v="2024-08-07"/>
  </r>
  <r>
    <n v="1063"/>
    <s v="Laptop"/>
    <x v="1"/>
    <n v="15012.88"/>
    <s v="09-07-2024"/>
  </r>
  <r>
    <n v="1064"/>
    <s v="Laptop"/>
    <x v="2"/>
    <n v="33804.300000000003"/>
    <s v="29-10-2024"/>
  </r>
  <r>
    <n v="1065"/>
    <s v="Tablet"/>
    <x v="3"/>
    <n v="31862.77"/>
    <s v="2024/08/20"/>
  </r>
  <r>
    <n v="1066"/>
    <s v="Mouse"/>
    <x v="1"/>
    <n v="44488.94"/>
    <s v="12-01-2024"/>
  </r>
  <r>
    <n v="1067"/>
    <s v="Monitor"/>
    <x v="0"/>
    <n v="39164.050000000003"/>
    <s v="15-05-2024"/>
  </r>
  <r>
    <n v="1068"/>
    <s v="Mouse"/>
    <x v="3"/>
    <n v="32629.69"/>
    <s v="30-07-2024"/>
  </r>
  <r>
    <n v="1069"/>
    <s v="Tablet"/>
    <x v="1"/>
    <n v="35288.589999999997"/>
    <s v="2024-01-10"/>
  </r>
  <r>
    <n v="1070"/>
    <m/>
    <x v="3"/>
    <n v="59249.29"/>
    <s v="2024-06-25"/>
  </r>
  <r>
    <n v="1071"/>
    <s v="Monitor"/>
    <x v="1"/>
    <n v="3172.49"/>
    <s v="2024-11-06"/>
  </r>
  <r>
    <n v="1072"/>
    <s v="Laptop"/>
    <x v="2"/>
    <n v="56741.18"/>
    <s v="2024/03/23"/>
  </r>
  <r>
    <n v="1073"/>
    <s v="Laptop"/>
    <x v="1"/>
    <n v="14489.93"/>
    <s v="2024/10/14"/>
  </r>
  <r>
    <n v="1074"/>
    <m/>
    <x v="2"/>
    <n v="50050.92"/>
    <s v="01-11-2024"/>
  </r>
  <r>
    <n v="1075"/>
    <s v="Keyboard"/>
    <x v="0"/>
    <n v="2698.18"/>
    <s v="2024-07-25"/>
  </r>
  <r>
    <n v="1076"/>
    <s v="Monitor"/>
    <x v="1"/>
    <n v="36877.18"/>
    <s v="03-12-2024"/>
  </r>
  <r>
    <n v="1077"/>
    <s v="Monitor"/>
    <x v="0"/>
    <n v="24396.02"/>
    <s v="2024-09-03"/>
  </r>
  <r>
    <n v="1078"/>
    <s v="Monitor"/>
    <x v="2"/>
    <n v="4907.92"/>
    <s v="09-03-2024"/>
  </r>
  <r>
    <n v="1079"/>
    <s v="Keyboard"/>
    <x v="2"/>
    <n v="8603.9"/>
    <s v="01-07-2024"/>
  </r>
  <r>
    <n v="1080"/>
    <s v="Laptop"/>
    <x v="0"/>
    <n v="52584.74"/>
    <s v="03-06-2024"/>
  </r>
  <r>
    <n v="1081"/>
    <m/>
    <x v="2"/>
    <n v="11443.62"/>
    <s v="2024/11/21"/>
  </r>
  <r>
    <n v="1082"/>
    <s v="Mouse"/>
    <x v="0"/>
    <n v="41733.29"/>
    <s v="2024/03/13"/>
  </r>
  <r>
    <n v="1083"/>
    <s v="Tablet"/>
    <x v="2"/>
    <n v="23259.87"/>
    <s v="2024/12/02"/>
  </r>
  <r>
    <n v="1084"/>
    <s v="Monitor"/>
    <x v="1"/>
    <n v="22857.85"/>
    <s v="2024/08/01"/>
  </r>
  <r>
    <n v="1085"/>
    <s v="Monitor"/>
    <x v="3"/>
    <n v="9716.61"/>
    <s v="2024-01-07"/>
  </r>
  <r>
    <n v="1086"/>
    <m/>
    <x v="0"/>
    <n v="24432.67"/>
    <s v="2024/07/10"/>
  </r>
  <r>
    <n v="1087"/>
    <m/>
    <x v="3"/>
    <n v="20322.34"/>
    <s v="2024/10/26"/>
  </r>
  <r>
    <n v="1088"/>
    <s v="Tablet"/>
    <x v="3"/>
    <n v="29295.34"/>
    <s v="15-08-2024"/>
  </r>
  <r>
    <n v="1089"/>
    <s v="Tablet"/>
    <x v="1"/>
    <n v="22421.86"/>
    <s v="08-10-2024"/>
  </r>
  <r>
    <n v="1090"/>
    <s v="Keyboard"/>
    <x v="3"/>
    <m/>
    <s v="2024/10/03"/>
  </r>
  <r>
    <n v="1091"/>
    <s v="Mouse"/>
    <x v="3"/>
    <n v="11229.04"/>
    <s v="06-11-2024"/>
  </r>
  <r>
    <n v="1172"/>
    <s v="Laptop"/>
    <x v="0"/>
    <n v="34983.910000000003"/>
    <s v="2024-03-15"/>
  </r>
  <r>
    <n v="1093"/>
    <s v="Mouse"/>
    <x v="0"/>
    <n v="33849.01"/>
    <s v="2024/01/26"/>
  </r>
  <r>
    <n v="1094"/>
    <s v="Tablet"/>
    <x v="2"/>
    <n v="30949.01"/>
    <s v="2024-04-22"/>
  </r>
  <r>
    <n v="1095"/>
    <s v="Keyboard"/>
    <x v="1"/>
    <n v="19917.89"/>
    <s v="2024/09/15"/>
  </r>
  <r>
    <n v="1096"/>
    <s v="Monitor"/>
    <x v="2"/>
    <n v="20018.88"/>
    <s v="2024/05/09"/>
  </r>
  <r>
    <n v="1097"/>
    <m/>
    <x v="0"/>
    <n v="36760.01"/>
    <s v="2024/04/03"/>
  </r>
  <r>
    <n v="1098"/>
    <s v="Mouse"/>
    <x v="0"/>
    <n v="59464.84"/>
    <s v="2024-03-16"/>
  </r>
  <r>
    <n v="1099"/>
    <m/>
    <x v="3"/>
    <n v="45279.61"/>
    <s v="2024/11/11"/>
  </r>
  <r>
    <n v="1100"/>
    <s v="Mouse"/>
    <x v="3"/>
    <n v="22171"/>
    <s v="2024-08-24"/>
  </r>
  <r>
    <n v="1101"/>
    <s v="Mouse"/>
    <x v="3"/>
    <n v="32847.08"/>
    <s v="03-03-2024"/>
  </r>
  <r>
    <n v="1102"/>
    <s v="Mouse"/>
    <x v="0"/>
    <n v="37830.04"/>
    <s v="2024-07-16"/>
  </r>
  <r>
    <n v="1103"/>
    <s v="Monitor"/>
    <x v="0"/>
    <n v="32474.2"/>
    <s v="2024-08-18"/>
  </r>
  <r>
    <n v="1104"/>
    <s v="Monitor"/>
    <x v="3"/>
    <n v="13068.13"/>
    <s v="2024-11-17"/>
  </r>
  <r>
    <n v="1105"/>
    <s v="Laptop"/>
    <x v="0"/>
    <n v="8521.83"/>
    <s v="02-07-2024"/>
  </r>
  <r>
    <n v="1106"/>
    <s v="Monitor"/>
    <x v="0"/>
    <m/>
    <s v="24-04-2024"/>
  </r>
  <r>
    <n v="1107"/>
    <s v="Mouse"/>
    <x v="1"/>
    <n v="35420.120000000003"/>
    <s v="18-07-2024"/>
  </r>
  <r>
    <n v="1108"/>
    <s v="Tablet"/>
    <x v="2"/>
    <n v="16104.92"/>
    <s v="2024-04-13"/>
  </r>
  <r>
    <n v="1109"/>
    <s v="Mouse"/>
    <x v="1"/>
    <n v="9999.7999999999993"/>
    <s v="01-04-2024"/>
  </r>
  <r>
    <n v="1110"/>
    <s v="Keyboard"/>
    <x v="2"/>
    <n v="8245.84"/>
    <s v="2024-04-10"/>
  </r>
  <r>
    <n v="1111"/>
    <s v="Monitor"/>
    <x v="0"/>
    <n v="35885.25"/>
    <s v="2024-05-28"/>
  </r>
  <r>
    <n v="1112"/>
    <s v="Keyboard"/>
    <x v="1"/>
    <n v="25455.77"/>
    <s v="30-03-2024"/>
  </r>
  <r>
    <n v="1113"/>
    <s v="Laptop"/>
    <x v="2"/>
    <n v="27693.93"/>
    <s v="2024/06/27"/>
  </r>
  <r>
    <n v="1114"/>
    <s v="Tablet"/>
    <x v="4"/>
    <n v="47049.25"/>
    <s v="2024/05/29"/>
  </r>
  <r>
    <n v="1115"/>
    <s v="Monitor"/>
    <x v="1"/>
    <n v="33881.019999999997"/>
    <s v="2024/12/07"/>
  </r>
  <r>
    <n v="1116"/>
    <s v="Monitor"/>
    <x v="3"/>
    <n v="45247.67"/>
    <s v="29-07-2024"/>
  </r>
  <r>
    <n v="1117"/>
    <s v="Monitor"/>
    <x v="2"/>
    <n v="18348.64"/>
    <s v="23-06-2024"/>
  </r>
  <r>
    <n v="1118"/>
    <s v="Monitor"/>
    <x v="3"/>
    <n v="20727.41"/>
    <s v="24-02-2024"/>
  </r>
  <r>
    <n v="1119"/>
    <s v="Tablet"/>
    <x v="2"/>
    <m/>
    <s v="2024-10-14"/>
  </r>
  <r>
    <n v="1120"/>
    <s v="Tablet"/>
    <x v="3"/>
    <n v="2162.92"/>
    <s v="23-02-2024"/>
  </r>
  <r>
    <n v="1121"/>
    <s v="Keyboard"/>
    <x v="0"/>
    <n v="59335"/>
    <s v="2024-10-14"/>
  </r>
  <r>
    <n v="1122"/>
    <s v="Mouse"/>
    <x v="3"/>
    <n v="53883.81"/>
    <s v="2024-01-07"/>
  </r>
  <r>
    <n v="1123"/>
    <s v="Monitor"/>
    <x v="2"/>
    <n v="42532.82"/>
    <s v="29-10-2024"/>
  </r>
  <r>
    <n v="1124"/>
    <s v="Monitor"/>
    <x v="4"/>
    <n v="21366.34"/>
    <s v="12-09-2024"/>
  </r>
  <r>
    <n v="1125"/>
    <s v="Tablet"/>
    <x v="1"/>
    <n v="52239.61"/>
    <s v="29-04-2024"/>
  </r>
  <r>
    <n v="1126"/>
    <s v="Monitor"/>
    <x v="0"/>
    <n v="42231.91"/>
    <s v="2024/10/07"/>
  </r>
  <r>
    <n v="1127"/>
    <s v="Tablet"/>
    <x v="2"/>
    <n v="11129.08"/>
    <s v="2024-08-02"/>
  </r>
  <r>
    <n v="1128"/>
    <s v="Laptop"/>
    <x v="1"/>
    <n v="24909.64"/>
    <s v="2024/03/16"/>
  </r>
  <r>
    <n v="1782"/>
    <s v="Keyboard"/>
    <x v="2"/>
    <n v="36247.370000000003"/>
    <s v="24-09-2024"/>
  </r>
  <r>
    <n v="1130"/>
    <s v="Keyboard"/>
    <x v="3"/>
    <n v="25900.13"/>
    <s v="2024/05/09"/>
  </r>
  <r>
    <n v="1131"/>
    <s v="Tablet"/>
    <x v="3"/>
    <n v="23968.44"/>
    <s v="2024-10-22"/>
  </r>
  <r>
    <n v="1132"/>
    <s v="Tablet"/>
    <x v="1"/>
    <n v="57291.13"/>
    <s v="09-03-2024"/>
  </r>
  <r>
    <n v="1133"/>
    <s v="Mouse"/>
    <x v="0"/>
    <n v="57358.94"/>
    <s v="19-07-2024"/>
  </r>
  <r>
    <n v="1134"/>
    <s v="Laptop"/>
    <x v="0"/>
    <n v="26654.81"/>
    <s v="2024/02/08"/>
  </r>
  <r>
    <n v="1135"/>
    <m/>
    <x v="1"/>
    <m/>
    <s v="12-01-2024"/>
  </r>
  <r>
    <n v="1136"/>
    <s v="Tablet"/>
    <x v="0"/>
    <n v="11922.84"/>
    <s v="2024-11-13"/>
  </r>
  <r>
    <n v="1137"/>
    <s v="Mouse"/>
    <x v="3"/>
    <n v="58854.03"/>
    <s v="2024-03-29"/>
  </r>
  <r>
    <n v="1138"/>
    <s v="Laptop"/>
    <x v="4"/>
    <n v="59961.86"/>
    <s v="2024-10-08"/>
  </r>
  <r>
    <n v="1139"/>
    <s v="Mouse"/>
    <x v="1"/>
    <n v="58292.44"/>
    <s v="2024-08-02"/>
  </r>
  <r>
    <n v="1140"/>
    <s v="Laptop"/>
    <x v="2"/>
    <n v="39359.870000000003"/>
    <s v="2024/05/31"/>
  </r>
  <r>
    <n v="1141"/>
    <s v="Tablet"/>
    <x v="1"/>
    <n v="43761.24"/>
    <s v="2024-12-29"/>
  </r>
  <r>
    <n v="1142"/>
    <s v="Laptop"/>
    <x v="0"/>
    <n v="26182.21"/>
    <s v="2024/04/17"/>
  </r>
  <r>
    <n v="1143"/>
    <s v="Keyboard"/>
    <x v="4"/>
    <n v="32207.29"/>
    <s v="2024-04-05"/>
  </r>
  <r>
    <n v="1144"/>
    <s v="Keyboard"/>
    <x v="1"/>
    <n v="38022.82"/>
    <s v="2024-08-23"/>
  </r>
  <r>
    <n v="1145"/>
    <s v="Laptop"/>
    <x v="0"/>
    <n v="7517.97"/>
    <s v="2024/05/21"/>
  </r>
  <r>
    <n v="1146"/>
    <s v="Mouse"/>
    <x v="0"/>
    <n v="54710.01"/>
    <s v="2024/03/13"/>
  </r>
  <r>
    <n v="1147"/>
    <s v="Mouse"/>
    <x v="2"/>
    <n v="16279.98"/>
    <s v="2024-07-16"/>
  </r>
  <r>
    <n v="1148"/>
    <s v="Monitor"/>
    <x v="2"/>
    <n v="4834.2"/>
    <s v="2024-03-12"/>
  </r>
  <r>
    <n v="1149"/>
    <s v="Laptop"/>
    <x v="1"/>
    <n v="14008.69"/>
    <s v="2024-08-28"/>
  </r>
  <r>
    <n v="1150"/>
    <s v="Mouse"/>
    <x v="0"/>
    <n v="36239.17"/>
    <s v="2024/08/28"/>
  </r>
  <r>
    <n v="1151"/>
    <s v="Keyboard"/>
    <x v="2"/>
    <n v="49134.15"/>
    <s v="2024/09/25"/>
  </r>
  <r>
    <n v="1152"/>
    <s v="Laptop"/>
    <x v="2"/>
    <n v="52770.19"/>
    <s v="2024/11/18"/>
  </r>
  <r>
    <n v="1153"/>
    <m/>
    <x v="1"/>
    <m/>
    <s v="2024-02-09"/>
  </r>
  <r>
    <n v="1154"/>
    <s v="Tablet"/>
    <x v="4"/>
    <n v="3878.23"/>
    <s v="2024/02/06"/>
  </r>
  <r>
    <n v="1155"/>
    <s v="Laptop"/>
    <x v="1"/>
    <n v="29354.61"/>
    <s v="14-12-2024"/>
  </r>
  <r>
    <n v="1156"/>
    <s v="Mouse"/>
    <x v="3"/>
    <n v="31754.36"/>
    <s v="2024-12-01"/>
  </r>
  <r>
    <n v="1157"/>
    <s v="Tablet"/>
    <x v="1"/>
    <n v="41128.31"/>
    <s v="09-07-2024"/>
  </r>
  <r>
    <n v="1158"/>
    <s v="Mouse"/>
    <x v="3"/>
    <n v="1303.57"/>
    <s v="2024-06-08"/>
  </r>
  <r>
    <n v="1159"/>
    <s v="Keyboard"/>
    <x v="0"/>
    <n v="1376.77"/>
    <s v="2024/08/11"/>
  </r>
  <r>
    <n v="1160"/>
    <s v="Tablet"/>
    <x v="0"/>
    <n v="1535.27"/>
    <s v="30-12-2024"/>
  </r>
  <r>
    <n v="1161"/>
    <s v="Mouse"/>
    <x v="2"/>
    <n v="38324.69"/>
    <s v="2024-08-09"/>
  </r>
  <r>
    <n v="1162"/>
    <s v="Keyboard"/>
    <x v="1"/>
    <n v="46488.07"/>
    <s v="2024/07/11"/>
  </r>
  <r>
    <n v="1163"/>
    <s v="Keyboard"/>
    <x v="3"/>
    <n v="27311.54"/>
    <s v="2024/09/07"/>
  </r>
  <r>
    <n v="1164"/>
    <m/>
    <x v="4"/>
    <n v="29829.95"/>
    <s v="2024/02/27"/>
  </r>
  <r>
    <n v="1165"/>
    <s v="Monitor"/>
    <x v="2"/>
    <n v="51398.38"/>
    <s v="2024-09-27"/>
  </r>
  <r>
    <n v="1166"/>
    <s v="Laptop"/>
    <x v="2"/>
    <n v="17122.310000000001"/>
    <s v="02-12-2024"/>
  </r>
  <r>
    <n v="1167"/>
    <s v="Laptop"/>
    <x v="2"/>
    <n v="45845.55"/>
    <s v="2024-09-13"/>
  </r>
  <r>
    <n v="1168"/>
    <s v="Monitor"/>
    <x v="2"/>
    <n v="34202.269999999997"/>
    <s v="26-07-2024"/>
  </r>
  <r>
    <n v="1169"/>
    <s v="Laptop"/>
    <x v="2"/>
    <n v="32290.91"/>
    <s v="17-07-2024"/>
  </r>
  <r>
    <n v="1170"/>
    <s v="Laptop"/>
    <x v="1"/>
    <n v="29409.82"/>
    <s v="2024-07-24"/>
  </r>
  <r>
    <n v="1171"/>
    <s v="Monitor"/>
    <x v="2"/>
    <n v="39439.65"/>
    <s v="26-04-2024"/>
  </r>
  <r>
    <n v="1172"/>
    <s v="Laptop"/>
    <x v="3"/>
    <n v="24337.16"/>
    <s v="2024-04-04"/>
  </r>
  <r>
    <n v="1173"/>
    <s v="Mouse"/>
    <x v="2"/>
    <n v="45200.54"/>
    <s v="2024/02/10"/>
  </r>
  <r>
    <n v="1174"/>
    <s v="Monitor"/>
    <x v="3"/>
    <n v="42445.43"/>
    <s v="2024-07-20"/>
  </r>
  <r>
    <n v="1175"/>
    <s v="Monitor"/>
    <x v="3"/>
    <n v="49646.33"/>
    <s v="02-06-2024"/>
  </r>
  <r>
    <n v="1176"/>
    <s v="Laptop"/>
    <x v="2"/>
    <n v="10881.47"/>
    <s v="31-10-2024"/>
  </r>
  <r>
    <n v="1177"/>
    <s v="Keyboard"/>
    <x v="2"/>
    <n v="18631.32"/>
    <s v="2024-07-22"/>
  </r>
  <r>
    <n v="1178"/>
    <s v="Keyboard"/>
    <x v="3"/>
    <n v="53794.18"/>
    <s v="09-11-2024"/>
  </r>
  <r>
    <n v="1179"/>
    <s v="Mouse"/>
    <x v="1"/>
    <n v="36003.440000000002"/>
    <s v="2024/01/12"/>
  </r>
  <r>
    <n v="1180"/>
    <s v="Laptop"/>
    <x v="0"/>
    <n v="11744.96"/>
    <s v="28-04-2024"/>
  </r>
  <r>
    <n v="1181"/>
    <m/>
    <x v="2"/>
    <n v="33006.239999999998"/>
    <s v="28-02-2024"/>
  </r>
  <r>
    <n v="1182"/>
    <s v="Mouse"/>
    <x v="4"/>
    <n v="28294.75"/>
    <s v="15-12-2024"/>
  </r>
  <r>
    <n v="1183"/>
    <s v="Laptop"/>
    <x v="0"/>
    <n v="30785.85"/>
    <s v="19-02-2024"/>
  </r>
  <r>
    <n v="1184"/>
    <s v="Tablet"/>
    <x v="3"/>
    <n v="54141.41"/>
    <s v="2024-09-18"/>
  </r>
  <r>
    <n v="1185"/>
    <s v="Monitor"/>
    <x v="2"/>
    <n v="50323.89"/>
    <s v="2024/08/12"/>
  </r>
  <r>
    <n v="1186"/>
    <s v="Keyboard"/>
    <x v="1"/>
    <n v="58312.31"/>
    <s v="19-10-2024"/>
  </r>
  <r>
    <n v="1187"/>
    <s v="Keyboard"/>
    <x v="2"/>
    <n v="22194.77"/>
    <s v="2024/05/09"/>
  </r>
  <r>
    <n v="1188"/>
    <s v="Laptop"/>
    <x v="0"/>
    <n v="1532.79"/>
    <s v="12-06-2024"/>
  </r>
  <r>
    <n v="1189"/>
    <s v="Tablet"/>
    <x v="1"/>
    <n v="20883.189999999999"/>
    <s v="2024/12/15"/>
  </r>
  <r>
    <n v="1190"/>
    <s v="Monitor"/>
    <x v="3"/>
    <n v="22195.79"/>
    <s v="2024/10/10"/>
  </r>
  <r>
    <n v="1191"/>
    <s v="Keyboard"/>
    <x v="1"/>
    <n v="48534.54"/>
    <s v="04-06-2024"/>
  </r>
  <r>
    <n v="1192"/>
    <m/>
    <x v="3"/>
    <n v="14636.72"/>
    <s v="2024/10/08"/>
  </r>
  <r>
    <n v="1193"/>
    <s v="Tablet"/>
    <x v="1"/>
    <n v="30926.85"/>
    <s v="24-07-2024"/>
  </r>
  <r>
    <n v="1194"/>
    <s v="Keyboard"/>
    <x v="4"/>
    <n v="58412.77"/>
    <s v="08-02-2024"/>
  </r>
  <r>
    <n v="1195"/>
    <s v="Mouse"/>
    <x v="2"/>
    <m/>
    <s v="2024/10/27"/>
  </r>
  <r>
    <n v="1196"/>
    <s v="Mouse"/>
    <x v="2"/>
    <n v="44118.94"/>
    <s v="2024-06-05"/>
  </r>
  <r>
    <n v="1197"/>
    <s v="Laptop"/>
    <x v="2"/>
    <n v="41311.629999999997"/>
    <s v="2024/04/23"/>
  </r>
  <r>
    <n v="1198"/>
    <s v="Monitor"/>
    <x v="3"/>
    <n v="47935.11"/>
    <s v="2024-10-15"/>
  </r>
  <r>
    <n v="1199"/>
    <s v="Mouse"/>
    <x v="3"/>
    <n v="10397.959999999999"/>
    <s v="2024/07/10"/>
  </r>
  <r>
    <n v="1200"/>
    <s v="Tablet"/>
    <x v="2"/>
    <n v="34453.96"/>
    <s v="2024-11-19"/>
  </r>
  <r>
    <n v="1201"/>
    <s v="Keyboard"/>
    <x v="2"/>
    <n v="19714.55"/>
    <s v="30-12-2024"/>
  </r>
  <r>
    <n v="1202"/>
    <m/>
    <x v="0"/>
    <n v="24374.19"/>
    <s v="11-11-2024"/>
  </r>
  <r>
    <n v="1203"/>
    <s v="Monitor"/>
    <x v="4"/>
    <n v="10938.22"/>
    <s v="25-11-2024"/>
  </r>
  <r>
    <n v="1204"/>
    <s v="Keyboard"/>
    <x v="0"/>
    <n v="49012.21"/>
    <s v="01-06-2024"/>
  </r>
  <r>
    <n v="1205"/>
    <s v="Monitor"/>
    <x v="3"/>
    <n v="48966.16"/>
    <s v="29-12-2024"/>
  </r>
  <r>
    <n v="1206"/>
    <m/>
    <x v="1"/>
    <n v="15365.46"/>
    <s v="21-07-2024"/>
  </r>
  <r>
    <n v="1207"/>
    <s v="Mouse"/>
    <x v="0"/>
    <n v="31862"/>
    <s v="27-01-2024"/>
  </r>
  <r>
    <n v="1208"/>
    <s v="Tablet"/>
    <x v="2"/>
    <n v="58626.79"/>
    <s v="2024/03/30"/>
  </r>
  <r>
    <n v="1209"/>
    <s v="Tablet"/>
    <x v="2"/>
    <n v="42833.73"/>
    <s v="07-11-2024"/>
  </r>
  <r>
    <n v="1210"/>
    <s v="Mouse"/>
    <x v="3"/>
    <n v="23037.07"/>
    <s v="2024-06-21"/>
  </r>
  <r>
    <n v="1211"/>
    <s v="Tablet"/>
    <x v="1"/>
    <n v="13510.65"/>
    <s v="2024/01/10"/>
  </r>
  <r>
    <n v="1212"/>
    <s v="Laptop"/>
    <x v="2"/>
    <n v="16083.05"/>
    <s v="2024/03/08"/>
  </r>
  <r>
    <n v="1213"/>
    <s v="Keyboard"/>
    <x v="2"/>
    <n v="37807.699999999997"/>
    <s v="2024/08/29"/>
  </r>
  <r>
    <n v="1214"/>
    <s v="Mouse"/>
    <x v="3"/>
    <n v="11528.31"/>
    <s v="2024-10-19"/>
  </r>
  <r>
    <n v="1215"/>
    <s v="Laptop"/>
    <x v="3"/>
    <n v="30309.24"/>
    <s v="2024/09/14"/>
  </r>
  <r>
    <n v="1216"/>
    <s v="Monitor"/>
    <x v="1"/>
    <n v="43746.49"/>
    <s v="2024/10/06"/>
  </r>
  <r>
    <n v="1217"/>
    <s v="Mouse"/>
    <x v="2"/>
    <n v="5685.74"/>
    <s v="19-08-2024"/>
  </r>
  <r>
    <n v="1218"/>
    <s v="Tablet"/>
    <x v="0"/>
    <n v="27102.19"/>
    <s v="2024/11/11"/>
  </r>
  <r>
    <n v="1219"/>
    <s v="Monitor"/>
    <x v="3"/>
    <n v="39401.760000000002"/>
    <s v="26-10-2024"/>
  </r>
  <r>
    <n v="1220"/>
    <s v="Mouse"/>
    <x v="1"/>
    <n v="44108.38"/>
    <s v="12-10-2024"/>
  </r>
  <r>
    <n v="1221"/>
    <s v="Mouse"/>
    <x v="1"/>
    <n v="11058.2"/>
    <s v="2024/04/15"/>
  </r>
  <r>
    <n v="1222"/>
    <s v="Monitor"/>
    <x v="0"/>
    <n v="47931.55"/>
    <s v="23-05-2024"/>
  </r>
  <r>
    <n v="1223"/>
    <m/>
    <x v="1"/>
    <n v="15375.75"/>
    <s v="2024-10-12"/>
  </r>
  <r>
    <n v="1224"/>
    <s v="Mouse"/>
    <x v="0"/>
    <n v="47139.66"/>
    <s v="2024/08/13"/>
  </r>
  <r>
    <n v="1225"/>
    <s v="Mouse"/>
    <x v="3"/>
    <n v="21432.98"/>
    <s v="05-09-2024"/>
  </r>
  <r>
    <n v="1226"/>
    <s v="Keyboard"/>
    <x v="2"/>
    <n v="55244.13"/>
    <s v="2024-05-22"/>
  </r>
  <r>
    <n v="1227"/>
    <s v="Monitor"/>
    <x v="2"/>
    <n v="23456.77"/>
    <s v="2024-08-03"/>
  </r>
  <r>
    <n v="1228"/>
    <s v="Tablet"/>
    <x v="3"/>
    <n v="2350.7399999999998"/>
    <s v="12-12-2024"/>
  </r>
  <r>
    <n v="1229"/>
    <s v="Monitor"/>
    <x v="2"/>
    <n v="51858.85"/>
    <s v="12-06-2024"/>
  </r>
  <r>
    <n v="1230"/>
    <s v="Tablet"/>
    <x v="0"/>
    <n v="49686.85"/>
    <s v="20-05-2024"/>
  </r>
  <r>
    <n v="1231"/>
    <s v="Laptop"/>
    <x v="1"/>
    <n v="57983.51"/>
    <s v="2024-04-05"/>
  </r>
  <r>
    <n v="1232"/>
    <s v="Tablet"/>
    <x v="3"/>
    <m/>
    <s v="2024-02-12"/>
  </r>
  <r>
    <n v="1233"/>
    <s v="Monitor"/>
    <x v="3"/>
    <n v="4431.66"/>
    <s v="2024-09-23"/>
  </r>
  <r>
    <n v="1234"/>
    <s v="Tablet"/>
    <x v="0"/>
    <n v="47179.07"/>
    <s v="19-09-2024"/>
  </r>
  <r>
    <n v="1235"/>
    <s v="Keyboard"/>
    <x v="2"/>
    <n v="19068.96"/>
    <s v="2024-11-03"/>
  </r>
  <r>
    <n v="1236"/>
    <s v="Monitor"/>
    <x v="3"/>
    <n v="21899.94"/>
    <s v="2024-06-03"/>
  </r>
  <r>
    <n v="1237"/>
    <s v="Mouse"/>
    <x v="4"/>
    <n v="29399.3"/>
    <s v="02-09-2024"/>
  </r>
  <r>
    <n v="1238"/>
    <s v="Laptop"/>
    <x v="0"/>
    <n v="50223.9"/>
    <s v="2024/07/31"/>
  </r>
  <r>
    <n v="1239"/>
    <m/>
    <x v="3"/>
    <n v="39119.32"/>
    <s v="2024/11/03"/>
  </r>
  <r>
    <n v="1240"/>
    <s v="Tablet"/>
    <x v="2"/>
    <n v="39450.93"/>
    <s v="14-08-2024"/>
  </r>
  <r>
    <n v="1241"/>
    <s v="Mouse"/>
    <x v="2"/>
    <n v="47427.3"/>
    <s v="08-05-2024"/>
  </r>
  <r>
    <n v="1242"/>
    <s v="Tablet"/>
    <x v="2"/>
    <n v="49682.8"/>
    <s v="2024-09-03"/>
  </r>
  <r>
    <n v="1243"/>
    <s v="Keyboard"/>
    <x v="2"/>
    <n v="9859.9699999999993"/>
    <s v="27-03-2024"/>
  </r>
  <r>
    <n v="1244"/>
    <s v="Mouse"/>
    <x v="1"/>
    <n v="1714.4"/>
    <s v="12-05-2024"/>
  </r>
  <r>
    <n v="1245"/>
    <s v="Tablet"/>
    <x v="2"/>
    <n v="47246.720000000001"/>
    <s v="2024/02/20"/>
  </r>
  <r>
    <n v="1246"/>
    <s v="Tablet"/>
    <x v="3"/>
    <n v="2235.75"/>
    <s v="2024-08-07"/>
  </r>
  <r>
    <n v="1247"/>
    <s v="Laptop"/>
    <x v="3"/>
    <m/>
    <s v="2024-10-18"/>
  </r>
  <r>
    <n v="1248"/>
    <s v="Keyboard"/>
    <x v="4"/>
    <n v="48124.14"/>
    <s v="19-05-2024"/>
  </r>
  <r>
    <n v="1249"/>
    <s v="Tablet"/>
    <x v="3"/>
    <n v="10241.67"/>
    <s v="2024-01-10"/>
  </r>
  <r>
    <n v="1250"/>
    <s v="Laptop"/>
    <x v="3"/>
    <n v="37163.440000000002"/>
    <s v="2024/10/04"/>
  </r>
  <r>
    <n v="1251"/>
    <s v="Monitor"/>
    <x v="0"/>
    <m/>
    <s v="2024-05-01"/>
  </r>
  <r>
    <n v="1252"/>
    <s v="Keyboard"/>
    <x v="0"/>
    <n v="28171.83"/>
    <s v="2024-10-28"/>
  </r>
  <r>
    <n v="1253"/>
    <s v="Mouse"/>
    <x v="1"/>
    <n v="56305.9"/>
    <s v="11-10-2024"/>
  </r>
  <r>
    <n v="1254"/>
    <s v="Tablet"/>
    <x v="0"/>
    <n v="9889.89"/>
    <s v="13-02-2024"/>
  </r>
  <r>
    <n v="1255"/>
    <s v="Tablet"/>
    <x v="2"/>
    <n v="41644.230000000003"/>
    <s v="2024-10-21"/>
  </r>
  <r>
    <n v="1256"/>
    <s v="Tablet"/>
    <x v="1"/>
    <n v="44761.01"/>
    <s v="03-01-2024"/>
  </r>
  <r>
    <n v="1257"/>
    <s v="Laptop"/>
    <x v="0"/>
    <n v="44251.21"/>
    <s v="2024-08-18"/>
  </r>
  <r>
    <n v="1258"/>
    <s v="Tablet"/>
    <x v="0"/>
    <n v="50557.87"/>
    <s v="12-01-2024"/>
  </r>
  <r>
    <n v="1259"/>
    <s v="Monitor"/>
    <x v="1"/>
    <n v="19030.650000000001"/>
    <s v="07-11-2024"/>
  </r>
  <r>
    <n v="1260"/>
    <s v="Tablet"/>
    <x v="2"/>
    <n v="9131.5499999999993"/>
    <s v="2024-08-17"/>
  </r>
  <r>
    <n v="1758"/>
    <s v="Laptop"/>
    <x v="3"/>
    <n v="6486.45"/>
    <s v="28-04-2024"/>
  </r>
  <r>
    <n v="1262"/>
    <s v="Mouse"/>
    <x v="2"/>
    <n v="4115.43"/>
    <s v="2024-01-24"/>
  </r>
  <r>
    <n v="1263"/>
    <s v="Laptop"/>
    <x v="1"/>
    <n v="4454.5"/>
    <s v="2024-04-18"/>
  </r>
  <r>
    <n v="1264"/>
    <s v="Tablet"/>
    <x v="3"/>
    <n v="8220.23"/>
    <s v="22-04-2024"/>
  </r>
  <r>
    <n v="1265"/>
    <s v="Keyboard"/>
    <x v="3"/>
    <n v="56053.69"/>
    <s v="2024/10/27"/>
  </r>
  <r>
    <n v="1266"/>
    <s v="Laptop"/>
    <x v="0"/>
    <n v="59476.46"/>
    <s v="03-05-2024"/>
  </r>
  <r>
    <n v="1267"/>
    <s v="Mouse"/>
    <x v="1"/>
    <n v="2545.61"/>
    <s v="22-04-2024"/>
  </r>
  <r>
    <n v="1268"/>
    <s v="Laptop"/>
    <x v="2"/>
    <n v="51310.95"/>
    <s v="09-03-2024"/>
  </r>
  <r>
    <n v="1269"/>
    <s v="Laptop"/>
    <x v="3"/>
    <n v="5755.49"/>
    <s v="2024-08-18"/>
  </r>
  <r>
    <n v="1270"/>
    <m/>
    <x v="3"/>
    <n v="8749.6200000000008"/>
    <s v="2024-02-26"/>
  </r>
  <r>
    <n v="1271"/>
    <s v="Tablet"/>
    <x v="0"/>
    <n v="16440.64"/>
    <s v="2024/06/11"/>
  </r>
  <r>
    <n v="1272"/>
    <s v="Mouse"/>
    <x v="1"/>
    <n v="50842.58"/>
    <s v="2024/03/10"/>
  </r>
  <r>
    <n v="1273"/>
    <m/>
    <x v="1"/>
    <n v="9215.48"/>
    <s v="2024-07-14"/>
  </r>
  <r>
    <n v="1274"/>
    <s v="Laptop"/>
    <x v="3"/>
    <n v="8551.2999999999993"/>
    <s v="2024-07-17"/>
  </r>
  <r>
    <n v="1275"/>
    <s v="Keyboard"/>
    <x v="3"/>
    <n v="9552.94"/>
    <s v="2024/03/27"/>
  </r>
  <r>
    <n v="1276"/>
    <s v="Laptop"/>
    <x v="3"/>
    <n v="21620.880000000001"/>
    <s v="2024/06/09"/>
  </r>
  <r>
    <n v="1277"/>
    <s v="Tablet"/>
    <x v="2"/>
    <n v="31880.06"/>
    <s v="2024/03/01"/>
  </r>
  <r>
    <n v="1278"/>
    <s v="Mouse"/>
    <x v="0"/>
    <n v="37161.11"/>
    <s v="16-07-2024"/>
  </r>
  <r>
    <n v="1279"/>
    <s v="Tablet"/>
    <x v="0"/>
    <n v="51857.23"/>
    <s v="04-05-2024"/>
  </r>
  <r>
    <n v="1280"/>
    <s v="Keyboard"/>
    <x v="3"/>
    <n v="47845.39"/>
    <s v="2024/02/18"/>
  </r>
  <r>
    <n v="1281"/>
    <s v="Tablet"/>
    <x v="0"/>
    <n v="31643.77"/>
    <s v="2024-08-19"/>
  </r>
  <r>
    <n v="1282"/>
    <s v="Keyboard"/>
    <x v="3"/>
    <n v="46548.74"/>
    <s v="2024/03/06"/>
  </r>
  <r>
    <n v="1283"/>
    <s v="Mouse"/>
    <x v="3"/>
    <n v="7222.95"/>
    <s v="05-10-2024"/>
  </r>
  <r>
    <n v="1284"/>
    <s v="Mouse"/>
    <x v="1"/>
    <n v="17941.14"/>
    <s v="2024-10-23"/>
  </r>
  <r>
    <n v="1285"/>
    <s v="Keyboard"/>
    <x v="0"/>
    <n v="10319.33"/>
    <s v="2024/09/24"/>
  </r>
  <r>
    <n v="1286"/>
    <s v="Keyboard"/>
    <x v="1"/>
    <n v="30916.02"/>
    <s v="2024/08/07"/>
  </r>
  <r>
    <n v="1287"/>
    <s v="Laptop"/>
    <x v="1"/>
    <n v="26979.08"/>
    <s v="02-09-2024"/>
  </r>
  <r>
    <n v="1288"/>
    <s v="Monitor"/>
    <x v="2"/>
    <n v="8223.6"/>
    <s v="06-06-2024"/>
  </r>
  <r>
    <n v="1289"/>
    <s v="Monitor"/>
    <x v="2"/>
    <m/>
    <s v="2024/01/25"/>
  </r>
  <r>
    <n v="1290"/>
    <s v="Keyboard"/>
    <x v="1"/>
    <n v="58433.99"/>
    <s v="21-09-2024"/>
  </r>
  <r>
    <n v="1291"/>
    <s v="Laptop"/>
    <x v="1"/>
    <n v="28096.65"/>
    <s v="2024/07/31"/>
  </r>
  <r>
    <n v="1292"/>
    <s v="Tablet"/>
    <x v="1"/>
    <n v="7663.65"/>
    <s v="2024/08/05"/>
  </r>
  <r>
    <n v="1293"/>
    <s v="Laptop"/>
    <x v="3"/>
    <n v="45180.75"/>
    <s v="05-10-2024"/>
  </r>
  <r>
    <n v="1294"/>
    <s v="Monitor"/>
    <x v="3"/>
    <n v="8449.6200000000008"/>
    <s v="2024/09/28"/>
  </r>
  <r>
    <n v="1295"/>
    <m/>
    <x v="3"/>
    <n v="39661.660000000003"/>
    <s v="01-01-2024"/>
  </r>
  <r>
    <n v="1296"/>
    <s v="Tablet"/>
    <x v="1"/>
    <n v="13546.02"/>
    <s v="14-08-2024"/>
  </r>
  <r>
    <n v="1297"/>
    <s v="Laptop"/>
    <x v="2"/>
    <n v="4486.54"/>
    <s v="2024/07/25"/>
  </r>
  <r>
    <n v="1298"/>
    <s v="Monitor"/>
    <x v="1"/>
    <n v="27376.28"/>
    <s v="2024/02/07"/>
  </r>
  <r>
    <n v="1299"/>
    <s v="Monitor"/>
    <x v="2"/>
    <n v="29265.13"/>
    <s v="07-10-2024"/>
  </r>
  <r>
    <n v="1300"/>
    <s v="Tablet"/>
    <x v="0"/>
    <n v="49736.3"/>
    <s v="01-10-2024"/>
  </r>
  <r>
    <n v="1301"/>
    <s v="Mouse"/>
    <x v="2"/>
    <n v="17609.75"/>
    <s v="29-04-2024"/>
  </r>
  <r>
    <n v="1302"/>
    <s v="Laptop"/>
    <x v="4"/>
    <n v="18774.650000000001"/>
    <s v="2024/07/21"/>
  </r>
  <r>
    <n v="1303"/>
    <s v="Laptop"/>
    <x v="0"/>
    <n v="52757.13"/>
    <s v="02-01-2024"/>
  </r>
  <r>
    <n v="1304"/>
    <s v="Mouse"/>
    <x v="2"/>
    <n v="47880.12"/>
    <s v="06-06-2024"/>
  </r>
  <r>
    <n v="1305"/>
    <s v="Mouse"/>
    <x v="1"/>
    <n v="13993.29"/>
    <s v="2024/06/20"/>
  </r>
  <r>
    <n v="1306"/>
    <s v="Monitor"/>
    <x v="2"/>
    <n v="52859.76"/>
    <s v="2024/03/05"/>
  </r>
  <r>
    <n v="1307"/>
    <s v="Mouse"/>
    <x v="0"/>
    <n v="9113.9"/>
    <s v="26-05-2024"/>
  </r>
  <r>
    <n v="1308"/>
    <s v="Mouse"/>
    <x v="2"/>
    <n v="15008.57"/>
    <s v="2024/12/13"/>
  </r>
  <r>
    <n v="1309"/>
    <s v="Laptop"/>
    <x v="2"/>
    <n v="36438.410000000003"/>
    <s v="2024-12-26"/>
  </r>
  <r>
    <n v="1310"/>
    <s v="Tablet"/>
    <x v="3"/>
    <n v="3693.28"/>
    <s v="2024/05/15"/>
  </r>
  <r>
    <n v="1311"/>
    <s v="Keyboard"/>
    <x v="1"/>
    <n v="28714.880000000001"/>
    <s v="24-08-2024"/>
  </r>
  <r>
    <n v="1312"/>
    <s v="Laptop"/>
    <x v="4"/>
    <n v="50791.55"/>
    <s v="2024-12-18"/>
  </r>
  <r>
    <n v="1313"/>
    <s v="Keyboard"/>
    <x v="0"/>
    <n v="24423.89"/>
    <s v="2024/02/06"/>
  </r>
  <r>
    <n v="1314"/>
    <s v="Laptop"/>
    <x v="3"/>
    <n v="2750.43"/>
    <s v="2024-07-10"/>
  </r>
  <r>
    <n v="1315"/>
    <s v="Monitor"/>
    <x v="1"/>
    <n v="25250.240000000002"/>
    <s v="18-04-2024"/>
  </r>
  <r>
    <n v="1316"/>
    <s v="Tablet"/>
    <x v="1"/>
    <m/>
    <s v="2024/12/12"/>
  </r>
  <r>
    <n v="1317"/>
    <s v="Tablet"/>
    <x v="4"/>
    <n v="16144.96"/>
    <s v="19-11-2024"/>
  </r>
  <r>
    <n v="1318"/>
    <s v="Keyboard"/>
    <x v="3"/>
    <n v="5189.45"/>
    <s v="2024-08-30"/>
  </r>
  <r>
    <n v="1319"/>
    <s v="Keyboard"/>
    <x v="0"/>
    <n v="1597.74"/>
    <s v="2024/07/28"/>
  </r>
  <r>
    <n v="1320"/>
    <s v="Keyboard"/>
    <x v="1"/>
    <n v="44717.89"/>
    <s v="2024/04/02"/>
  </r>
  <r>
    <n v="1321"/>
    <s v="Monitor"/>
    <x v="4"/>
    <n v="18407.400000000001"/>
    <s v="2024/11/16"/>
  </r>
  <r>
    <n v="1322"/>
    <s v="Monitor"/>
    <x v="1"/>
    <n v="28529.86"/>
    <s v="2024-10-20"/>
  </r>
  <r>
    <n v="1323"/>
    <s v="Tablet"/>
    <x v="3"/>
    <n v="47550.12"/>
    <s v="2024/07/06"/>
  </r>
  <r>
    <n v="1324"/>
    <s v="Keyboard"/>
    <x v="3"/>
    <n v="6833.54"/>
    <s v="15-03-2024"/>
  </r>
  <r>
    <n v="1325"/>
    <s v="Keyboard"/>
    <x v="1"/>
    <n v="10844.75"/>
    <s v="2024/01/07"/>
  </r>
  <r>
    <n v="1326"/>
    <s v="Monitor"/>
    <x v="3"/>
    <m/>
    <s v="05-05-2024"/>
  </r>
  <r>
    <n v="1327"/>
    <s v="Keyboard"/>
    <x v="3"/>
    <n v="34021.620000000003"/>
    <s v="31-01-2024"/>
  </r>
  <r>
    <n v="1328"/>
    <m/>
    <x v="3"/>
    <n v="23668.2"/>
    <s v="2024/06/03"/>
  </r>
  <r>
    <n v="1329"/>
    <s v="Tablet"/>
    <x v="3"/>
    <n v="9676.65"/>
    <s v="2024/09/01"/>
  </r>
  <r>
    <n v="1330"/>
    <s v="Keyboard"/>
    <x v="1"/>
    <n v="53415.82"/>
    <s v="14-07-2024"/>
  </r>
  <r>
    <n v="1331"/>
    <s v="Mouse"/>
    <x v="1"/>
    <m/>
    <s v="11-08-2024"/>
  </r>
  <r>
    <n v="1332"/>
    <s v="Monitor"/>
    <x v="0"/>
    <n v="50185.35"/>
    <s v="2024-02-11"/>
  </r>
  <r>
    <n v="1333"/>
    <s v="Keyboard"/>
    <x v="2"/>
    <n v="50010.62"/>
    <s v="19-11-2024"/>
  </r>
  <r>
    <n v="1334"/>
    <s v="Laptop"/>
    <x v="3"/>
    <n v="24704.95"/>
    <s v="29-09-2024"/>
  </r>
  <r>
    <n v="1335"/>
    <s v="Tablet"/>
    <x v="0"/>
    <n v="9731.06"/>
    <s v="05-01-2024"/>
  </r>
  <r>
    <n v="1336"/>
    <s v="Mouse"/>
    <x v="3"/>
    <n v="32469.81"/>
    <s v="2024/05/19"/>
  </r>
  <r>
    <n v="1337"/>
    <s v="Monitor"/>
    <x v="0"/>
    <n v="28540.14"/>
    <s v="2024-01-12"/>
  </r>
  <r>
    <n v="1338"/>
    <s v="Keyboard"/>
    <x v="0"/>
    <n v="18844.400000000001"/>
    <s v="2024/08/15"/>
  </r>
  <r>
    <n v="1339"/>
    <s v="Monitor"/>
    <x v="0"/>
    <n v="30047.200000000001"/>
    <s v="2024-08-29"/>
  </r>
  <r>
    <n v="1340"/>
    <s v="Tablet"/>
    <x v="2"/>
    <n v="48588.77"/>
    <s v="2024/06/11"/>
  </r>
  <r>
    <n v="1341"/>
    <s v="Tablet"/>
    <x v="1"/>
    <n v="53692.32"/>
    <s v="26-05-2024"/>
  </r>
  <r>
    <n v="1342"/>
    <s v="Monitor"/>
    <x v="2"/>
    <n v="45993.19"/>
    <s v="2024-01-22"/>
  </r>
  <r>
    <n v="1343"/>
    <s v="Laptop"/>
    <x v="1"/>
    <n v="48461.8"/>
    <s v="31-05-2024"/>
  </r>
  <r>
    <n v="1344"/>
    <s v="Keyboard"/>
    <x v="1"/>
    <n v="6298.92"/>
    <s v="2024/01/30"/>
  </r>
  <r>
    <n v="1345"/>
    <s v="Tablet"/>
    <x v="1"/>
    <n v="45452.25"/>
    <s v="2024-07-06"/>
  </r>
  <r>
    <n v="1346"/>
    <s v="Tablet"/>
    <x v="0"/>
    <n v="5581.31"/>
    <s v="16-09-2024"/>
  </r>
  <r>
    <n v="1347"/>
    <s v="Mouse"/>
    <x v="2"/>
    <n v="5266.67"/>
    <s v="2024/03/01"/>
  </r>
  <r>
    <n v="1348"/>
    <s v="Mouse"/>
    <x v="2"/>
    <n v="15291.64"/>
    <s v="2024/12/23"/>
  </r>
  <r>
    <n v="1349"/>
    <s v="Tablet"/>
    <x v="1"/>
    <n v="17579.27"/>
    <s v="02-08-2024"/>
  </r>
  <r>
    <n v="1350"/>
    <s v="Keyboard"/>
    <x v="3"/>
    <n v="38788.089999999997"/>
    <s v="25-09-2024"/>
  </r>
  <r>
    <n v="1351"/>
    <s v="Tablet"/>
    <x v="0"/>
    <n v="27511.63"/>
    <s v="10-01-2024"/>
  </r>
  <r>
    <n v="1352"/>
    <s v="Monitor"/>
    <x v="3"/>
    <n v="18888.45"/>
    <s v="30-11-2024"/>
  </r>
  <r>
    <n v="1353"/>
    <s v="Monitor"/>
    <x v="1"/>
    <n v="17772.169999999998"/>
    <s v="2024-12-03"/>
  </r>
  <r>
    <n v="1354"/>
    <s v="Keyboard"/>
    <x v="1"/>
    <n v="47197.98"/>
    <s v="2024/09/30"/>
  </r>
  <r>
    <n v="1355"/>
    <s v="Laptop"/>
    <x v="2"/>
    <m/>
    <s v="20-11-2024"/>
  </r>
  <r>
    <n v="1356"/>
    <s v="Mouse"/>
    <x v="1"/>
    <n v="52126.33"/>
    <s v="2024-04-09"/>
  </r>
  <r>
    <n v="1357"/>
    <s v="Keyboard"/>
    <x v="3"/>
    <n v="7845.34"/>
    <s v="2024-08-05"/>
  </r>
  <r>
    <n v="1358"/>
    <s v="Tablet"/>
    <x v="2"/>
    <n v="52655.16"/>
    <s v="2024-04-10"/>
  </r>
  <r>
    <n v="1359"/>
    <s v="Laptop"/>
    <x v="2"/>
    <n v="47127.61"/>
    <s v="19-05-2024"/>
  </r>
  <r>
    <n v="1360"/>
    <s v="Mouse"/>
    <x v="2"/>
    <n v="7547.67"/>
    <s v="12-09-2024"/>
  </r>
  <r>
    <n v="1361"/>
    <s v="Tablet"/>
    <x v="0"/>
    <n v="51170.53"/>
    <s v="2024-01-16"/>
  </r>
  <r>
    <n v="1362"/>
    <s v="Tablet"/>
    <x v="1"/>
    <n v="3120.38"/>
    <s v="03-08-2024"/>
  </r>
  <r>
    <n v="1363"/>
    <s v="Monitor"/>
    <x v="0"/>
    <n v="28621.09"/>
    <s v="05-03-2024"/>
  </r>
  <r>
    <n v="1364"/>
    <s v="Mouse"/>
    <x v="1"/>
    <n v="16787.97"/>
    <s v="22-02-2024"/>
  </r>
  <r>
    <n v="1365"/>
    <s v="Mouse"/>
    <x v="2"/>
    <n v="2853.89"/>
    <s v="2024-04-20"/>
  </r>
  <r>
    <n v="1366"/>
    <s v="Mouse"/>
    <x v="2"/>
    <m/>
    <s v="11-12-2024"/>
  </r>
  <r>
    <n v="1367"/>
    <s v="Tablet"/>
    <x v="0"/>
    <n v="8407.4599999999991"/>
    <s v="2024/06/29"/>
  </r>
  <r>
    <n v="1368"/>
    <s v="Laptop"/>
    <x v="0"/>
    <n v="20593.86"/>
    <s v="01-06-2024"/>
  </r>
  <r>
    <n v="1369"/>
    <s v="Monitor"/>
    <x v="4"/>
    <n v="39141.07"/>
    <s v="2024-05-14"/>
  </r>
  <r>
    <n v="1370"/>
    <s v="Keyboard"/>
    <x v="0"/>
    <n v="13218.6"/>
    <s v="28-02-2024"/>
  </r>
  <r>
    <n v="1371"/>
    <s v="Keyboard"/>
    <x v="2"/>
    <n v="28954.78"/>
    <s v="2024-08-05"/>
  </r>
  <r>
    <n v="1372"/>
    <s v="Laptop"/>
    <x v="1"/>
    <n v="34116.32"/>
    <s v="04-10-2024"/>
  </r>
  <r>
    <n v="1373"/>
    <s v="Laptop"/>
    <x v="0"/>
    <n v="35119.61"/>
    <s v="23-09-2024"/>
  </r>
  <r>
    <n v="1374"/>
    <s v="Mouse"/>
    <x v="1"/>
    <n v="56896.32"/>
    <s v="2024/04/11"/>
  </r>
  <r>
    <n v="1375"/>
    <s v="Monitor"/>
    <x v="2"/>
    <n v="9690.8799999999992"/>
    <s v="05-01-2024"/>
  </r>
  <r>
    <n v="1376"/>
    <s v="Laptop"/>
    <x v="2"/>
    <n v="21901.8"/>
    <s v="01-05-2024"/>
  </r>
  <r>
    <n v="1377"/>
    <s v="Laptop"/>
    <x v="2"/>
    <n v="26536.14"/>
    <s v="2024-08-09"/>
  </r>
  <r>
    <n v="1378"/>
    <s v="Mouse"/>
    <x v="3"/>
    <n v="59703.9"/>
    <s v="19-02-2024"/>
  </r>
  <r>
    <n v="1379"/>
    <s v="Monitor"/>
    <x v="2"/>
    <n v="42991.65"/>
    <s v="30-03-2024"/>
  </r>
  <r>
    <n v="1380"/>
    <s v="Keyboard"/>
    <x v="3"/>
    <n v="1768.74"/>
    <s v="2024-09-16"/>
  </r>
  <r>
    <n v="1381"/>
    <s v="Tablet"/>
    <x v="2"/>
    <n v="58056.11"/>
    <s v="2024/01/08"/>
  </r>
  <r>
    <n v="1382"/>
    <s v="Mouse"/>
    <x v="3"/>
    <n v="40329.43"/>
    <s v="2024-07-05"/>
  </r>
  <r>
    <n v="1383"/>
    <s v="Monitor"/>
    <x v="3"/>
    <n v="23242.15"/>
    <s v="2024/06/04"/>
  </r>
  <r>
    <n v="1384"/>
    <s v="Keyboard"/>
    <x v="2"/>
    <n v="44002.83"/>
    <s v="2024/03/31"/>
  </r>
  <r>
    <n v="1385"/>
    <s v="Mouse"/>
    <x v="0"/>
    <m/>
    <s v="2024/08/15"/>
  </r>
  <r>
    <n v="1386"/>
    <s v="Tablet"/>
    <x v="3"/>
    <m/>
    <s v="2024-04-02"/>
  </r>
  <r>
    <n v="1387"/>
    <m/>
    <x v="2"/>
    <n v="17257.330000000002"/>
    <s v="17-01-2024"/>
  </r>
  <r>
    <n v="1388"/>
    <s v="Laptop"/>
    <x v="0"/>
    <n v="12303.98"/>
    <s v="30-12-2024"/>
  </r>
  <r>
    <n v="1389"/>
    <s v="Laptop"/>
    <x v="1"/>
    <n v="9742.5"/>
    <s v="2024/08/24"/>
  </r>
  <r>
    <n v="1390"/>
    <s v="Monitor"/>
    <x v="1"/>
    <n v="20253.97"/>
    <s v="2024-04-18"/>
  </r>
  <r>
    <n v="1391"/>
    <s v="Keyboard"/>
    <x v="3"/>
    <n v="29103.81"/>
    <s v="2024/08/29"/>
  </r>
  <r>
    <n v="1392"/>
    <s v="Monitor"/>
    <x v="2"/>
    <n v="13217.47"/>
    <s v="2024/11/19"/>
  </r>
  <r>
    <n v="1393"/>
    <s v="Keyboard"/>
    <x v="0"/>
    <n v="3810.83"/>
    <s v="2024-06-12"/>
  </r>
  <r>
    <n v="1394"/>
    <s v="Mouse"/>
    <x v="3"/>
    <n v="17665.87"/>
    <s v="05-10-2024"/>
  </r>
  <r>
    <n v="1395"/>
    <s v="Mouse"/>
    <x v="0"/>
    <n v="22368.400000000001"/>
    <s v="08-11-2024"/>
  </r>
  <r>
    <n v="1396"/>
    <s v="Keyboard"/>
    <x v="1"/>
    <m/>
    <s v="2024/10/29"/>
  </r>
  <r>
    <n v="1397"/>
    <s v="Tablet"/>
    <x v="3"/>
    <n v="45785.07"/>
    <s v="09-11-2024"/>
  </r>
  <r>
    <n v="1398"/>
    <s v="Keyboard"/>
    <x v="2"/>
    <n v="54214.47"/>
    <s v="2024-08-15"/>
  </r>
  <r>
    <n v="1399"/>
    <s v="Tablet"/>
    <x v="1"/>
    <n v="33125.32"/>
    <s v="2024/07/20"/>
  </r>
  <r>
    <n v="1400"/>
    <s v="Mouse"/>
    <x v="0"/>
    <n v="29430.18"/>
    <s v="29-09-2024"/>
  </r>
  <r>
    <n v="1401"/>
    <s v="Tablet"/>
    <x v="0"/>
    <n v="31024.54"/>
    <s v="18-10-2024"/>
  </r>
  <r>
    <n v="1402"/>
    <s v="Laptop"/>
    <x v="3"/>
    <n v="8199.7999999999993"/>
    <s v="15-06-2024"/>
  </r>
  <r>
    <n v="1403"/>
    <s v="Tablet"/>
    <x v="1"/>
    <n v="40243.629999999997"/>
    <s v="2024-09-01"/>
  </r>
  <r>
    <n v="1404"/>
    <s v="Mouse"/>
    <x v="3"/>
    <n v="23450.54"/>
    <s v="27-09-2024"/>
  </r>
  <r>
    <n v="1405"/>
    <m/>
    <x v="1"/>
    <n v="48055.29"/>
    <s v="15-10-2024"/>
  </r>
  <r>
    <n v="1406"/>
    <s v="Tablet"/>
    <x v="1"/>
    <n v="58055.08"/>
    <s v="04-12-2024"/>
  </r>
  <r>
    <n v="1407"/>
    <s v="Tablet"/>
    <x v="3"/>
    <n v="57195.56"/>
    <s v="2024/03/20"/>
  </r>
  <r>
    <n v="1408"/>
    <s v="Laptop"/>
    <x v="0"/>
    <n v="52413.43"/>
    <s v="08-11-2024"/>
  </r>
  <r>
    <n v="1409"/>
    <s v="Monitor"/>
    <x v="3"/>
    <n v="1717.25"/>
    <s v="2024/11/23"/>
  </r>
  <r>
    <n v="1410"/>
    <s v="Laptop"/>
    <x v="1"/>
    <n v="37656.25"/>
    <s v="2024-04-06"/>
  </r>
  <r>
    <n v="1411"/>
    <s v="Laptop"/>
    <x v="2"/>
    <n v="20674.29"/>
    <s v="01-08-2024"/>
  </r>
  <r>
    <n v="1412"/>
    <s v="Mouse"/>
    <x v="3"/>
    <n v="38304.65"/>
    <s v="2024-01-14"/>
  </r>
  <r>
    <n v="1413"/>
    <s v="Keyboard"/>
    <x v="3"/>
    <n v="54969.14"/>
    <s v="2024-08-05"/>
  </r>
  <r>
    <n v="1414"/>
    <s v="Monitor"/>
    <x v="0"/>
    <n v="12199.1"/>
    <s v="06-08-2024"/>
  </r>
  <r>
    <n v="1415"/>
    <s v="Tablet"/>
    <x v="0"/>
    <n v="33426.769999999997"/>
    <s v="2024-06-14"/>
  </r>
  <r>
    <n v="1416"/>
    <s v="Tablet"/>
    <x v="3"/>
    <n v="6431.95"/>
    <s v="17-04-2024"/>
  </r>
  <r>
    <n v="1417"/>
    <s v="Tablet"/>
    <x v="0"/>
    <n v="34255.94"/>
    <s v="2024-03-13"/>
  </r>
  <r>
    <n v="1418"/>
    <s v="Tablet"/>
    <x v="1"/>
    <n v="56857.29"/>
    <s v="2024-06-02"/>
  </r>
  <r>
    <n v="1419"/>
    <s v="Laptop"/>
    <x v="4"/>
    <n v="37887.08"/>
    <s v="2024/01/25"/>
  </r>
  <r>
    <n v="1420"/>
    <s v="Keyboard"/>
    <x v="0"/>
    <n v="56439.44"/>
    <s v="2024-05-17"/>
  </r>
  <r>
    <n v="1421"/>
    <s v="Mouse"/>
    <x v="2"/>
    <n v="1490.88"/>
    <s v="2024-02-23"/>
  </r>
  <r>
    <n v="1422"/>
    <s v="Tablet"/>
    <x v="2"/>
    <n v="31250.86"/>
    <s v="2024/09/04"/>
  </r>
  <r>
    <n v="1423"/>
    <s v="Tablet"/>
    <x v="1"/>
    <n v="39585.65"/>
    <s v="2024-09-01"/>
  </r>
  <r>
    <n v="1836"/>
    <s v="Monitor"/>
    <x v="0"/>
    <n v="15606.03"/>
    <s v="22-10-2024"/>
  </r>
  <r>
    <n v="1425"/>
    <s v="Keyboard"/>
    <x v="1"/>
    <n v="20649.060000000001"/>
    <s v="2024-12-03"/>
  </r>
  <r>
    <n v="1426"/>
    <s v="Monitor"/>
    <x v="3"/>
    <n v="44830.01"/>
    <s v="31-03-2024"/>
  </r>
  <r>
    <n v="1427"/>
    <s v="Mouse"/>
    <x v="1"/>
    <n v="16862.36"/>
    <s v="2024-10-10"/>
  </r>
  <r>
    <n v="1428"/>
    <s v="Keyboard"/>
    <x v="3"/>
    <n v="38639.300000000003"/>
    <s v="17-08-2024"/>
  </r>
  <r>
    <n v="1429"/>
    <s v="Mouse"/>
    <x v="3"/>
    <n v="18250.599999999999"/>
    <s v="18-05-2024"/>
  </r>
  <r>
    <n v="1430"/>
    <s v="Keyboard"/>
    <x v="3"/>
    <m/>
    <s v="2024/07/25"/>
  </r>
  <r>
    <n v="1431"/>
    <m/>
    <x v="2"/>
    <n v="7600.96"/>
    <s v="2024-05-12"/>
  </r>
  <r>
    <n v="1432"/>
    <s v="Laptop"/>
    <x v="0"/>
    <n v="48544.83"/>
    <s v="08-05-2024"/>
  </r>
  <r>
    <n v="1433"/>
    <s v="Keyboard"/>
    <x v="3"/>
    <n v="49884.78"/>
    <s v="01-06-2024"/>
  </r>
  <r>
    <n v="1434"/>
    <s v="Tablet"/>
    <x v="2"/>
    <n v="17018.43"/>
    <s v="01-12-2024"/>
  </r>
  <r>
    <n v="1435"/>
    <s v="Tablet"/>
    <x v="1"/>
    <n v="51670.19"/>
    <s v="2024-03-27"/>
  </r>
  <r>
    <n v="1436"/>
    <s v="Keyboard"/>
    <x v="1"/>
    <n v="40745.08"/>
    <s v="20-05-2024"/>
  </r>
  <r>
    <n v="1437"/>
    <s v="Laptop"/>
    <x v="3"/>
    <n v="32381.46"/>
    <s v="17-04-2024"/>
  </r>
  <r>
    <n v="1438"/>
    <m/>
    <x v="2"/>
    <n v="15250.67"/>
    <s v="17-05-2024"/>
  </r>
  <r>
    <n v="1439"/>
    <s v="Laptop"/>
    <x v="0"/>
    <n v="15380.04"/>
    <s v="2024/05/06"/>
  </r>
  <r>
    <n v="1440"/>
    <s v="Tablet"/>
    <x v="2"/>
    <n v="25530.73"/>
    <s v="19-01-2024"/>
  </r>
  <r>
    <n v="1441"/>
    <s v="Keyboard"/>
    <x v="1"/>
    <n v="34949.15"/>
    <s v="02-04-2024"/>
  </r>
  <r>
    <n v="1442"/>
    <s v="Tablet"/>
    <x v="2"/>
    <n v="41832.35"/>
    <s v="2024/03/11"/>
  </r>
  <r>
    <n v="1443"/>
    <s v="Mouse"/>
    <x v="2"/>
    <n v="46812.87"/>
    <s v="02-03-2024"/>
  </r>
  <r>
    <n v="1444"/>
    <s v="Mouse"/>
    <x v="0"/>
    <n v="15943.07"/>
    <s v="2024-01-25"/>
  </r>
  <r>
    <n v="1445"/>
    <s v="Tablet"/>
    <x v="3"/>
    <n v="8515.7999999999993"/>
    <s v="27-04-2024"/>
  </r>
  <r>
    <n v="1446"/>
    <s v="Mouse"/>
    <x v="0"/>
    <n v="5466.28"/>
    <s v="30-01-2024"/>
  </r>
  <r>
    <n v="1447"/>
    <s v="Tablet"/>
    <x v="4"/>
    <n v="11721.67"/>
    <s v="25-12-2024"/>
  </r>
  <r>
    <n v="1448"/>
    <s v="Laptop"/>
    <x v="0"/>
    <n v="26574.86"/>
    <s v="08-08-2024"/>
  </r>
  <r>
    <n v="1449"/>
    <s v="Mouse"/>
    <x v="2"/>
    <n v="22804.880000000001"/>
    <s v="2024-02-29"/>
  </r>
  <r>
    <n v="1450"/>
    <m/>
    <x v="2"/>
    <n v="29555.37"/>
    <s v="13-12-2024"/>
  </r>
  <r>
    <n v="1451"/>
    <m/>
    <x v="1"/>
    <n v="33333.910000000003"/>
    <s v="13-11-2024"/>
  </r>
  <r>
    <n v="1452"/>
    <s v="Tablet"/>
    <x v="0"/>
    <n v="11022.98"/>
    <s v="21-09-2024"/>
  </r>
  <r>
    <n v="1453"/>
    <s v="Keyboard"/>
    <x v="0"/>
    <n v="46683.86"/>
    <s v="01-09-2024"/>
  </r>
  <r>
    <n v="1454"/>
    <s v="Tablet"/>
    <x v="2"/>
    <n v="19515.78"/>
    <s v="2024-02-09"/>
  </r>
  <r>
    <n v="1455"/>
    <s v="Monitor"/>
    <x v="1"/>
    <n v="35495.42"/>
    <s v="2024-06-26"/>
  </r>
  <r>
    <n v="1456"/>
    <s v="Monitor"/>
    <x v="0"/>
    <n v="16579.66"/>
    <s v="14-06-2024"/>
  </r>
  <r>
    <n v="1457"/>
    <s v="Keyboard"/>
    <x v="2"/>
    <n v="39627.839999999997"/>
    <s v="2024/10/04"/>
  </r>
  <r>
    <n v="1458"/>
    <s v="Monitor"/>
    <x v="1"/>
    <n v="47415.79"/>
    <s v="22-12-2024"/>
  </r>
  <r>
    <n v="1459"/>
    <s v="Keyboard"/>
    <x v="3"/>
    <n v="53419.38"/>
    <s v="19-03-2024"/>
  </r>
  <r>
    <n v="1460"/>
    <s v="Tablet"/>
    <x v="1"/>
    <n v="20192.150000000001"/>
    <s v="13-04-2024"/>
  </r>
  <r>
    <n v="1461"/>
    <s v="Tablet"/>
    <x v="3"/>
    <n v="49772.47"/>
    <s v="2024-05-19"/>
  </r>
  <r>
    <n v="1462"/>
    <s v="Monitor"/>
    <x v="0"/>
    <n v="3380.7"/>
    <s v="2024-09-09"/>
  </r>
  <r>
    <n v="1463"/>
    <s v="Keyboard"/>
    <x v="1"/>
    <m/>
    <s v="30-10-2024"/>
  </r>
  <r>
    <n v="1342"/>
    <s v="Tablet"/>
    <x v="2"/>
    <n v="8826.0300000000007"/>
    <s v="12-09-2024"/>
  </r>
  <r>
    <n v="1465"/>
    <s v="Monitor"/>
    <x v="0"/>
    <n v="59450.07"/>
    <s v="2024-01-19"/>
  </r>
  <r>
    <n v="1466"/>
    <s v="Laptop"/>
    <x v="2"/>
    <n v="55819.23"/>
    <s v="2024-07-01"/>
  </r>
  <r>
    <n v="1467"/>
    <s v="Keyboard"/>
    <x v="2"/>
    <n v="28208.85"/>
    <s v="14-06-2024"/>
  </r>
  <r>
    <n v="1468"/>
    <s v="Mouse"/>
    <x v="0"/>
    <n v="56559.83"/>
    <s v="03-10-2024"/>
  </r>
  <r>
    <n v="1469"/>
    <s v="Monitor"/>
    <x v="2"/>
    <n v="45119.87"/>
    <s v="22-11-2024"/>
  </r>
  <r>
    <n v="1470"/>
    <s v="Tablet"/>
    <x v="0"/>
    <n v="11013.98"/>
    <s v="2024/04/21"/>
  </r>
  <r>
    <n v="1471"/>
    <s v="Laptop"/>
    <x v="0"/>
    <n v="54702.57"/>
    <s v="04-06-2024"/>
  </r>
  <r>
    <n v="1472"/>
    <s v="Monitor"/>
    <x v="3"/>
    <n v="35408.26"/>
    <s v="29-12-2024"/>
  </r>
  <r>
    <n v="1473"/>
    <s v="Mouse"/>
    <x v="1"/>
    <n v="52977.41"/>
    <s v="23-05-2024"/>
  </r>
  <r>
    <n v="1474"/>
    <s v="Laptop"/>
    <x v="3"/>
    <n v="48204.33"/>
    <s v="2024-09-12"/>
  </r>
  <r>
    <n v="1475"/>
    <s v="Mouse"/>
    <x v="2"/>
    <n v="28435.56"/>
    <s v="04-04-2024"/>
  </r>
  <r>
    <n v="1476"/>
    <s v="Mouse"/>
    <x v="2"/>
    <n v="53621.69"/>
    <s v="11-01-2024"/>
  </r>
  <r>
    <n v="1477"/>
    <s v="Monitor"/>
    <x v="3"/>
    <n v="5414.45"/>
    <s v="2024/09/27"/>
  </r>
  <r>
    <n v="1478"/>
    <s v="Tablet"/>
    <x v="3"/>
    <n v="17423.740000000002"/>
    <s v="2024/12/25"/>
  </r>
  <r>
    <n v="1479"/>
    <s v="Tablet"/>
    <x v="4"/>
    <n v="22570.15"/>
    <s v="2024-05-04"/>
  </r>
  <r>
    <n v="1480"/>
    <s v="Mouse"/>
    <x v="3"/>
    <n v="59217.02"/>
    <s v="04-10-2024"/>
  </r>
  <r>
    <n v="1481"/>
    <s v="Tablet"/>
    <x v="1"/>
    <n v="30825.02"/>
    <s v="25-08-2024"/>
  </r>
  <r>
    <n v="1482"/>
    <s v="Monitor"/>
    <x v="3"/>
    <n v="24346.77"/>
    <s v="2024/04/15"/>
  </r>
  <r>
    <n v="1483"/>
    <s v="Mouse"/>
    <x v="2"/>
    <n v="59514.6"/>
    <s v="15-04-2024"/>
  </r>
  <r>
    <n v="1484"/>
    <s v="Laptop"/>
    <x v="2"/>
    <n v="12514.82"/>
    <s v="2024-03-22"/>
  </r>
  <r>
    <n v="1485"/>
    <s v="Tablet"/>
    <x v="1"/>
    <n v="48183.360000000001"/>
    <s v="2024-10-21"/>
  </r>
  <r>
    <n v="1486"/>
    <s v="Keyboard"/>
    <x v="2"/>
    <n v="34495.910000000003"/>
    <s v="2024-07-06"/>
  </r>
  <r>
    <n v="1487"/>
    <s v="Tablet"/>
    <x v="3"/>
    <n v="9332.19"/>
    <s v="2024/04/29"/>
  </r>
  <r>
    <n v="1488"/>
    <s v="Tablet"/>
    <x v="0"/>
    <n v="17856.75"/>
    <s v="18-07-2024"/>
  </r>
  <r>
    <n v="1489"/>
    <s v="Laptop"/>
    <x v="3"/>
    <n v="20911.34"/>
    <s v="2024-11-10"/>
  </r>
  <r>
    <n v="1490"/>
    <s v="Tablet"/>
    <x v="1"/>
    <n v="52570.23"/>
    <s v="2024-01-13"/>
  </r>
  <r>
    <n v="1491"/>
    <s v="Keyboard"/>
    <x v="0"/>
    <n v="33705.910000000003"/>
    <s v="2024/09/29"/>
  </r>
  <r>
    <n v="1492"/>
    <s v="Keyboard"/>
    <x v="0"/>
    <n v="55546.83"/>
    <s v="20-04-2024"/>
  </r>
  <r>
    <n v="1493"/>
    <s v="Monitor"/>
    <x v="3"/>
    <n v="26369.13"/>
    <s v="2024-10-12"/>
  </r>
  <r>
    <n v="1494"/>
    <s v="Laptop"/>
    <x v="1"/>
    <m/>
    <s v="2024/05/28"/>
  </r>
  <r>
    <n v="1495"/>
    <s v="Monitor"/>
    <x v="0"/>
    <n v="46639.61"/>
    <s v="2024/02/22"/>
  </r>
  <r>
    <n v="1496"/>
    <s v="Laptop"/>
    <x v="1"/>
    <n v="10480.1"/>
    <s v="14-08-2024"/>
  </r>
  <r>
    <n v="1497"/>
    <s v="Tablet"/>
    <x v="0"/>
    <n v="12159.21"/>
    <s v="2024/06/03"/>
  </r>
  <r>
    <n v="1498"/>
    <s v="Monitor"/>
    <x v="1"/>
    <n v="8403.69"/>
    <s v="2024/09/29"/>
  </r>
  <r>
    <n v="1499"/>
    <s v="Laptop"/>
    <x v="2"/>
    <n v="22587.26"/>
    <s v="2024/04/11"/>
  </r>
  <r>
    <n v="1500"/>
    <s v="Laptop"/>
    <x v="1"/>
    <n v="21359.94"/>
    <s v="31-10-2024"/>
  </r>
  <r>
    <n v="1501"/>
    <s v="Monitor"/>
    <x v="2"/>
    <n v="12346.28"/>
    <s v="2024-01-28"/>
  </r>
  <r>
    <n v="1502"/>
    <s v="Mouse"/>
    <x v="3"/>
    <n v="57838.26"/>
    <s v="03-11-2024"/>
  </r>
  <r>
    <n v="1503"/>
    <s v="Monitor"/>
    <x v="1"/>
    <n v="9393.06"/>
    <s v="02-07-2024"/>
  </r>
  <r>
    <n v="1504"/>
    <s v="Monitor"/>
    <x v="3"/>
    <n v="22978.03"/>
    <s v="2024/05/16"/>
  </r>
  <r>
    <n v="1505"/>
    <s v="Keyboard"/>
    <x v="2"/>
    <n v="54880.73"/>
    <s v="2024/03/07"/>
  </r>
  <r>
    <n v="1506"/>
    <s v="Monitor"/>
    <x v="3"/>
    <n v="35095.58"/>
    <s v="2024/11/18"/>
  </r>
  <r>
    <n v="1507"/>
    <s v="Tablet"/>
    <x v="2"/>
    <n v="52032.79"/>
    <s v="13-02-2024"/>
  </r>
  <r>
    <n v="1508"/>
    <s v="Keyboard"/>
    <x v="2"/>
    <n v="41772.29"/>
    <s v="2024-05-08"/>
  </r>
  <r>
    <n v="1509"/>
    <s v="Mouse"/>
    <x v="0"/>
    <n v="11227.24"/>
    <s v="2024-10-20"/>
  </r>
  <r>
    <n v="1510"/>
    <s v="Monitor"/>
    <x v="2"/>
    <n v="24017.09"/>
    <s v="10-03-2024"/>
  </r>
  <r>
    <n v="1511"/>
    <s v="Tablet"/>
    <x v="2"/>
    <n v="34429.71"/>
    <s v="30-05-2024"/>
  </r>
  <r>
    <n v="1512"/>
    <s v="Monitor"/>
    <x v="3"/>
    <n v="47019.31"/>
    <s v="2024/08/24"/>
  </r>
  <r>
    <n v="1513"/>
    <s v="Mouse"/>
    <x v="2"/>
    <n v="53846.18"/>
    <s v="02-01-2024"/>
  </r>
  <r>
    <n v="1514"/>
    <s v="Keyboard"/>
    <x v="1"/>
    <n v="34510.480000000003"/>
    <s v="07-08-2024"/>
  </r>
  <r>
    <n v="1515"/>
    <s v="Laptop"/>
    <x v="3"/>
    <n v="4113.1499999999996"/>
    <s v="16-03-2024"/>
  </r>
  <r>
    <n v="1516"/>
    <s v="Mouse"/>
    <x v="1"/>
    <n v="53966.87"/>
    <s v="30-11-2024"/>
  </r>
  <r>
    <n v="1517"/>
    <s v="Mouse"/>
    <x v="3"/>
    <n v="13334.5"/>
    <s v="24-05-2024"/>
  </r>
  <r>
    <n v="1518"/>
    <s v="Monitor"/>
    <x v="0"/>
    <n v="35011.870000000003"/>
    <s v="09-10-2024"/>
  </r>
  <r>
    <n v="1519"/>
    <m/>
    <x v="2"/>
    <n v="25824.91"/>
    <s v="26-01-2024"/>
  </r>
  <r>
    <n v="1520"/>
    <s v="Keyboard"/>
    <x v="2"/>
    <n v="55758.01"/>
    <s v="2024/01/13"/>
  </r>
  <r>
    <n v="1521"/>
    <s v="Tablet"/>
    <x v="1"/>
    <m/>
    <s v="02-12-2024"/>
  </r>
  <r>
    <n v="1522"/>
    <s v="Keyboard"/>
    <x v="4"/>
    <n v="26852.43"/>
    <s v="2024/11/22"/>
  </r>
  <r>
    <n v="1523"/>
    <s v="Tablet"/>
    <x v="0"/>
    <n v="39831.43"/>
    <s v="2024/08/26"/>
  </r>
  <r>
    <n v="1524"/>
    <m/>
    <x v="2"/>
    <n v="13985.23"/>
    <s v="17-12-2024"/>
  </r>
  <r>
    <n v="1525"/>
    <s v="Keyboard"/>
    <x v="1"/>
    <n v="14006.31"/>
    <s v="2024/09/20"/>
  </r>
  <r>
    <n v="1526"/>
    <s v="Mouse"/>
    <x v="3"/>
    <n v="6391.07"/>
    <s v="2024-08-17"/>
  </r>
  <r>
    <n v="1527"/>
    <s v="Keyboard"/>
    <x v="0"/>
    <n v="50142.85"/>
    <s v="2024/05/01"/>
  </r>
  <r>
    <n v="1528"/>
    <s v="Keyboard"/>
    <x v="1"/>
    <n v="15720.68"/>
    <s v="2024/04/05"/>
  </r>
  <r>
    <n v="1529"/>
    <s v="Keyboard"/>
    <x v="0"/>
    <n v="49880.800000000003"/>
    <s v="2024-10-25"/>
  </r>
  <r>
    <n v="1530"/>
    <s v="Tablet"/>
    <x v="3"/>
    <n v="48520.37"/>
    <s v="2024/01/22"/>
  </r>
  <r>
    <n v="1531"/>
    <s v="Laptop"/>
    <x v="1"/>
    <n v="59859.75"/>
    <s v="2024-03-16"/>
  </r>
  <r>
    <n v="1532"/>
    <s v="Monitor"/>
    <x v="2"/>
    <n v="14137.89"/>
    <s v="2024-02-16"/>
  </r>
  <r>
    <n v="1533"/>
    <s v="Mouse"/>
    <x v="1"/>
    <n v="48035.45"/>
    <s v="2024-11-09"/>
  </r>
  <r>
    <n v="1534"/>
    <s v="Mouse"/>
    <x v="3"/>
    <n v="14864.66"/>
    <s v="2024-03-25"/>
  </r>
  <r>
    <n v="1535"/>
    <s v="Tablet"/>
    <x v="0"/>
    <n v="25758.02"/>
    <s v="2024/02/23"/>
  </r>
  <r>
    <n v="1536"/>
    <m/>
    <x v="0"/>
    <n v="56858.61"/>
    <s v="29-12-2024"/>
  </r>
  <r>
    <n v="1537"/>
    <s v="Monitor"/>
    <x v="3"/>
    <m/>
    <s v="10-11-2024"/>
  </r>
  <r>
    <n v="1538"/>
    <s v="Mouse"/>
    <x v="3"/>
    <n v="6498.57"/>
    <s v="2024-05-20"/>
  </r>
  <r>
    <n v="1539"/>
    <s v="Monitor"/>
    <x v="2"/>
    <n v="6626.29"/>
    <s v="2024/10/10"/>
  </r>
  <r>
    <n v="1540"/>
    <s v="Laptop"/>
    <x v="1"/>
    <n v="40104.980000000003"/>
    <s v="28-06-2024"/>
  </r>
  <r>
    <n v="1541"/>
    <s v="Mouse"/>
    <x v="2"/>
    <n v="34747.760000000002"/>
    <s v="2024/03/04"/>
  </r>
  <r>
    <n v="1542"/>
    <s v="Monitor"/>
    <x v="0"/>
    <n v="25055.23"/>
    <s v="11-08-2024"/>
  </r>
  <r>
    <n v="1543"/>
    <s v="Keyboard"/>
    <x v="3"/>
    <n v="38848.76"/>
    <s v="08-08-2024"/>
  </r>
  <r>
    <n v="1544"/>
    <s v="Monitor"/>
    <x v="1"/>
    <n v="52631.96"/>
    <s v="2024-11-30"/>
  </r>
  <r>
    <n v="1545"/>
    <s v="Mouse"/>
    <x v="0"/>
    <n v="22268"/>
    <s v="2024/11/19"/>
  </r>
  <r>
    <n v="1546"/>
    <s v="Keyboard"/>
    <x v="1"/>
    <n v="58659.519999999997"/>
    <s v="07-06-2024"/>
  </r>
  <r>
    <n v="1547"/>
    <s v="Monitor"/>
    <x v="2"/>
    <n v="25260.240000000002"/>
    <s v="2024-05-09"/>
  </r>
  <r>
    <n v="1548"/>
    <s v="Keyboard"/>
    <x v="4"/>
    <n v="17457.349999999999"/>
    <s v="06-12-2024"/>
  </r>
  <r>
    <n v="1549"/>
    <m/>
    <x v="1"/>
    <n v="18349.98"/>
    <s v="29-06-2024"/>
  </r>
  <r>
    <n v="1550"/>
    <s v="Laptop"/>
    <x v="2"/>
    <n v="40756.49"/>
    <s v="2024-07-13"/>
  </r>
  <r>
    <n v="1551"/>
    <s v="Laptop"/>
    <x v="0"/>
    <n v="26314.68"/>
    <s v="2024/06/14"/>
  </r>
  <r>
    <n v="1354"/>
    <s v="Tablet"/>
    <x v="2"/>
    <n v="40007.300000000003"/>
    <s v="2024/02/11"/>
  </r>
  <r>
    <n v="1553"/>
    <s v="Laptop"/>
    <x v="0"/>
    <n v="7693.01"/>
    <s v="01-12-2024"/>
  </r>
  <r>
    <n v="1554"/>
    <s v="Tablet"/>
    <x v="2"/>
    <m/>
    <s v="2024-12-17"/>
  </r>
  <r>
    <n v="1555"/>
    <s v="Laptop"/>
    <x v="1"/>
    <n v="30063.34"/>
    <s v="07-06-2024"/>
  </r>
  <r>
    <n v="1556"/>
    <s v="Mouse"/>
    <x v="1"/>
    <m/>
    <s v="2024/04/19"/>
  </r>
  <r>
    <n v="1557"/>
    <s v="Monitor"/>
    <x v="3"/>
    <n v="9453.61"/>
    <s v="2024-02-05"/>
  </r>
  <r>
    <n v="1558"/>
    <s v="Tablet"/>
    <x v="3"/>
    <n v="50414.32"/>
    <s v="27-05-2024"/>
  </r>
  <r>
    <n v="1033"/>
    <s v="Tablet"/>
    <x v="3"/>
    <n v="38388.980000000003"/>
    <s v="2024/08/18"/>
  </r>
  <r>
    <n v="1560"/>
    <s v="Monitor"/>
    <x v="2"/>
    <n v="21221.119999999999"/>
    <s v="2024-10-14"/>
  </r>
  <r>
    <n v="1561"/>
    <s v="Monitor"/>
    <x v="3"/>
    <n v="39049.269999999997"/>
    <s v="12-09-2024"/>
  </r>
  <r>
    <n v="1369"/>
    <s v="Monitor"/>
    <x v="2"/>
    <n v="1760.95"/>
    <s v="2024-10-14"/>
  </r>
  <r>
    <n v="1563"/>
    <s v="Laptop"/>
    <x v="2"/>
    <n v="23418.77"/>
    <s v="20-11-2024"/>
  </r>
  <r>
    <n v="1564"/>
    <s v="Mouse"/>
    <x v="0"/>
    <n v="59252.83"/>
    <s v="09-12-2024"/>
  </r>
  <r>
    <n v="1565"/>
    <s v="Tablet"/>
    <x v="0"/>
    <n v="29111.22"/>
    <s v="2024-05-08"/>
  </r>
  <r>
    <n v="1566"/>
    <s v="Laptop"/>
    <x v="2"/>
    <n v="8571.23"/>
    <s v="2024-12-29"/>
  </r>
  <r>
    <n v="1567"/>
    <s v="Monitor"/>
    <x v="3"/>
    <n v="37531.19"/>
    <s v="2024-05-20"/>
  </r>
  <r>
    <n v="1568"/>
    <s v="Keyboard"/>
    <x v="2"/>
    <n v="14335.96"/>
    <s v="18-07-2024"/>
  </r>
  <r>
    <n v="1569"/>
    <s v="Monitor"/>
    <x v="0"/>
    <n v="4364.59"/>
    <s v="08-02-2024"/>
  </r>
  <r>
    <n v="1570"/>
    <m/>
    <x v="2"/>
    <n v="31869.57"/>
    <s v="01-10-2024"/>
  </r>
  <r>
    <n v="1571"/>
    <s v="Keyboard"/>
    <x v="2"/>
    <n v="35404.68"/>
    <s v="19-09-2024"/>
  </r>
  <r>
    <n v="1572"/>
    <s v="Mouse"/>
    <x v="0"/>
    <n v="54769.01"/>
    <s v="2024-02-15"/>
  </r>
  <r>
    <n v="1573"/>
    <s v="Monitor"/>
    <x v="3"/>
    <n v="38059.050000000003"/>
    <s v="31-10-2024"/>
  </r>
  <r>
    <n v="1574"/>
    <s v="Laptop"/>
    <x v="0"/>
    <n v="35204.14"/>
    <s v="08-11-2024"/>
  </r>
  <r>
    <n v="1575"/>
    <s v="Tablet"/>
    <x v="1"/>
    <n v="59867.21"/>
    <s v="2024/07/26"/>
  </r>
  <r>
    <n v="1576"/>
    <s v="Mouse"/>
    <x v="3"/>
    <n v="1011.01"/>
    <s v="16-02-2024"/>
  </r>
  <r>
    <n v="1577"/>
    <s v="Monitor"/>
    <x v="2"/>
    <n v="8985.9699999999993"/>
    <s v="2024/06/17"/>
  </r>
  <r>
    <n v="1578"/>
    <s v="Tablet"/>
    <x v="2"/>
    <n v="18544.330000000002"/>
    <s v="23-08-2024"/>
  </r>
  <r>
    <n v="1579"/>
    <s v="Mouse"/>
    <x v="3"/>
    <n v="36118.550000000003"/>
    <s v="07-07-2024"/>
  </r>
  <r>
    <n v="1580"/>
    <s v="Tablet"/>
    <x v="2"/>
    <n v="54573.09"/>
    <s v="2024/05/25"/>
  </r>
  <r>
    <n v="1581"/>
    <s v="Keyboard"/>
    <x v="2"/>
    <n v="37249.599999999999"/>
    <s v="2024-02-08"/>
  </r>
  <r>
    <n v="1582"/>
    <s v="Laptop"/>
    <x v="0"/>
    <n v="38175.49"/>
    <s v="09-08-2024"/>
  </r>
  <r>
    <n v="1583"/>
    <s v="Keyboard"/>
    <x v="0"/>
    <n v="20215.400000000001"/>
    <s v="2024-03-10"/>
  </r>
  <r>
    <n v="1584"/>
    <s v="Keyboard"/>
    <x v="3"/>
    <m/>
    <s v="2024/02/02"/>
  </r>
  <r>
    <n v="1585"/>
    <s v="Monitor"/>
    <x v="2"/>
    <n v="1761.53"/>
    <s v="2024/01/29"/>
  </r>
  <r>
    <n v="1586"/>
    <s v="Mouse"/>
    <x v="0"/>
    <n v="4219.3599999999997"/>
    <s v="2024/09/15"/>
  </r>
  <r>
    <n v="1587"/>
    <s v="Mouse"/>
    <x v="3"/>
    <n v="12616.38"/>
    <s v="11-01-2024"/>
  </r>
  <r>
    <n v="1588"/>
    <s v="Mouse"/>
    <x v="1"/>
    <n v="38256.07"/>
    <s v="25-01-2024"/>
  </r>
  <r>
    <n v="1589"/>
    <s v="Laptop"/>
    <x v="0"/>
    <n v="1845.52"/>
    <s v="2024/09/21"/>
  </r>
  <r>
    <n v="1590"/>
    <s v="Monitor"/>
    <x v="1"/>
    <n v="50397"/>
    <s v="07-09-2024"/>
  </r>
  <r>
    <n v="1591"/>
    <s v="Tablet"/>
    <x v="3"/>
    <n v="23815.72"/>
    <s v="2024-01-06"/>
  </r>
  <r>
    <n v="1592"/>
    <s v="Tablet"/>
    <x v="1"/>
    <n v="28991.66"/>
    <s v="2024/06/27"/>
  </r>
  <r>
    <n v="1593"/>
    <s v="Tablet"/>
    <x v="3"/>
    <n v="33914.550000000003"/>
    <s v="2024/11/28"/>
  </r>
  <r>
    <n v="1594"/>
    <s v="Mouse"/>
    <x v="3"/>
    <n v="31969.1"/>
    <s v="01-01-2024"/>
  </r>
  <r>
    <n v="1595"/>
    <s v="Monitor"/>
    <x v="3"/>
    <n v="47992.58"/>
    <s v="2024/11/29"/>
  </r>
  <r>
    <n v="1596"/>
    <s v="Monitor"/>
    <x v="0"/>
    <n v="9410.84"/>
    <s v="2024/05/20"/>
  </r>
  <r>
    <n v="1597"/>
    <s v="Monitor"/>
    <x v="1"/>
    <n v="20537.64"/>
    <s v="08-06-2024"/>
  </r>
  <r>
    <n v="1598"/>
    <s v="Mouse"/>
    <x v="3"/>
    <n v="57446.51"/>
    <s v="06-01-2024"/>
  </r>
  <r>
    <n v="1599"/>
    <s v="Monitor"/>
    <x v="1"/>
    <n v="48053.33"/>
    <s v="06-03-2024"/>
  </r>
  <r>
    <n v="1600"/>
    <s v="Tablet"/>
    <x v="0"/>
    <n v="39200.019999999997"/>
    <s v="26-05-2024"/>
  </r>
  <r>
    <n v="1601"/>
    <s v="Mouse"/>
    <x v="2"/>
    <n v="25170.7"/>
    <s v="2024/08/01"/>
  </r>
  <r>
    <n v="1602"/>
    <s v="Mouse"/>
    <x v="3"/>
    <n v="35123.230000000003"/>
    <s v="2024-01-28"/>
  </r>
  <r>
    <n v="1603"/>
    <s v="Monitor"/>
    <x v="1"/>
    <n v="33366.720000000001"/>
    <s v="28-11-2024"/>
  </r>
  <r>
    <n v="1604"/>
    <s v="Tablet"/>
    <x v="1"/>
    <n v="1653.63"/>
    <s v="2024-08-01"/>
  </r>
  <r>
    <n v="1605"/>
    <s v="Monitor"/>
    <x v="2"/>
    <n v="29544.35"/>
    <s v="17-12-2024"/>
  </r>
  <r>
    <n v="1606"/>
    <s v="Monitor"/>
    <x v="0"/>
    <n v="34646.93"/>
    <s v="28-03-2024"/>
  </r>
  <r>
    <n v="1607"/>
    <s v="Laptop"/>
    <x v="3"/>
    <n v="42002.23"/>
    <s v="18-04-2024"/>
  </r>
  <r>
    <n v="1608"/>
    <s v="Monitor"/>
    <x v="0"/>
    <n v="54805.62"/>
    <s v="01-04-2024"/>
  </r>
  <r>
    <n v="1609"/>
    <m/>
    <x v="2"/>
    <n v="44341.89"/>
    <s v="2024-03-15"/>
  </r>
  <r>
    <n v="1610"/>
    <s v="Tablet"/>
    <x v="1"/>
    <n v="33481.370000000003"/>
    <s v="2024-12-09"/>
  </r>
  <r>
    <n v="1611"/>
    <m/>
    <x v="2"/>
    <n v="53548.85"/>
    <s v="2024-08-13"/>
  </r>
  <r>
    <n v="1612"/>
    <s v="Mouse"/>
    <x v="1"/>
    <n v="10712.61"/>
    <s v="2024/12/01"/>
  </r>
  <r>
    <n v="1613"/>
    <s v="Tablet"/>
    <x v="2"/>
    <n v="26163.49"/>
    <s v="17-12-2024"/>
  </r>
  <r>
    <n v="1614"/>
    <s v="Laptop"/>
    <x v="0"/>
    <n v="1861.93"/>
    <s v="24-11-2024"/>
  </r>
  <r>
    <n v="1615"/>
    <s v="Mouse"/>
    <x v="0"/>
    <n v="20634.07"/>
    <s v="2024-11-03"/>
  </r>
  <r>
    <n v="1616"/>
    <s v="Keyboard"/>
    <x v="3"/>
    <m/>
    <s v="18-04-2024"/>
  </r>
  <r>
    <n v="1617"/>
    <m/>
    <x v="0"/>
    <n v="16115.3"/>
    <s v="08-04-2024"/>
  </r>
  <r>
    <n v="1618"/>
    <s v="Laptop"/>
    <x v="3"/>
    <n v="3377.05"/>
    <s v="17-07-2024"/>
  </r>
  <r>
    <n v="1619"/>
    <s v="Keyboard"/>
    <x v="1"/>
    <n v="18899.75"/>
    <s v="27-06-2024"/>
  </r>
  <r>
    <n v="1620"/>
    <s v="Tablet"/>
    <x v="3"/>
    <n v="57947.37"/>
    <s v="01-05-2024"/>
  </r>
  <r>
    <n v="1621"/>
    <s v="Keyboard"/>
    <x v="0"/>
    <n v="44967.67"/>
    <s v="01-08-2024"/>
  </r>
  <r>
    <n v="1622"/>
    <s v="Tablet"/>
    <x v="2"/>
    <n v="45325.46"/>
    <s v="04-02-2024"/>
  </r>
  <r>
    <n v="1623"/>
    <s v="Mouse"/>
    <x v="3"/>
    <n v="29684.25"/>
    <s v="19-08-2024"/>
  </r>
  <r>
    <n v="1624"/>
    <s v="Tablet"/>
    <x v="2"/>
    <n v="52407.6"/>
    <s v="10-01-2024"/>
  </r>
  <r>
    <n v="1625"/>
    <s v="Tablet"/>
    <x v="2"/>
    <n v="30534.18"/>
    <s v="2024/05/31"/>
  </r>
  <r>
    <n v="1626"/>
    <s v="Monitor"/>
    <x v="2"/>
    <n v="1303.24"/>
    <s v="2024/03/30"/>
  </r>
  <r>
    <n v="1627"/>
    <s v="Laptop"/>
    <x v="1"/>
    <n v="18077.009999999998"/>
    <s v="01-08-2024"/>
  </r>
  <r>
    <n v="1628"/>
    <s v="Mouse"/>
    <x v="0"/>
    <n v="52509.55"/>
    <s v="2024-09-02"/>
  </r>
  <r>
    <n v="1629"/>
    <s v="Laptop"/>
    <x v="3"/>
    <n v="49412.58"/>
    <s v="24-10-2024"/>
  </r>
  <r>
    <n v="1630"/>
    <s v="Keyboard"/>
    <x v="3"/>
    <n v="49893.83"/>
    <s v="2024-08-11"/>
  </r>
  <r>
    <n v="1631"/>
    <s v="Laptop"/>
    <x v="3"/>
    <n v="9377.66"/>
    <s v="2024/01/24"/>
  </r>
  <r>
    <n v="1632"/>
    <s v="Tablet"/>
    <x v="1"/>
    <n v="21637.97"/>
    <s v="19-02-2024"/>
  </r>
  <r>
    <n v="1633"/>
    <s v="Tablet"/>
    <x v="0"/>
    <n v="24194.19"/>
    <s v="2024/09/12"/>
  </r>
  <r>
    <n v="1634"/>
    <s v="Mouse"/>
    <x v="2"/>
    <n v="21301.41"/>
    <s v="2024/04/07"/>
  </r>
  <r>
    <n v="1635"/>
    <m/>
    <x v="0"/>
    <n v="4724.66"/>
    <s v="2024/12/12"/>
  </r>
  <r>
    <n v="1636"/>
    <s v="Mouse"/>
    <x v="1"/>
    <n v="25909.34"/>
    <s v="2024-09-01"/>
  </r>
  <r>
    <n v="1637"/>
    <s v="Mouse"/>
    <x v="3"/>
    <n v="3717.72"/>
    <s v="11-05-2024"/>
  </r>
  <r>
    <n v="1638"/>
    <s v="Mouse"/>
    <x v="2"/>
    <n v="21355.99"/>
    <s v="14-04-2024"/>
  </r>
  <r>
    <n v="1639"/>
    <s v="Mouse"/>
    <x v="1"/>
    <n v="17602.189999999999"/>
    <s v="2024/06/10"/>
  </r>
  <r>
    <n v="1640"/>
    <s v="Keyboard"/>
    <x v="2"/>
    <n v="26401.61"/>
    <s v="03-08-2024"/>
  </r>
  <r>
    <n v="1641"/>
    <s v="Laptop"/>
    <x v="2"/>
    <n v="45213.36"/>
    <s v="06-07-2024"/>
  </r>
  <r>
    <n v="1642"/>
    <s v="Monitor"/>
    <x v="4"/>
    <n v="48341.71"/>
    <s v="2024-04-22"/>
  </r>
  <r>
    <n v="1643"/>
    <s v="Mouse"/>
    <x v="2"/>
    <m/>
    <s v="06-09-2024"/>
  </r>
  <r>
    <n v="1644"/>
    <s v="Tablet"/>
    <x v="1"/>
    <n v="47167.51"/>
    <s v="2024-03-08"/>
  </r>
  <r>
    <n v="1645"/>
    <s v="Mouse"/>
    <x v="3"/>
    <m/>
    <s v="27-11-2024"/>
  </r>
  <r>
    <n v="1345"/>
    <s v="Mouse"/>
    <x v="3"/>
    <n v="57132.41"/>
    <s v="24-01-2024"/>
  </r>
  <r>
    <n v="1647"/>
    <s v="Mouse"/>
    <x v="2"/>
    <n v="26880.2"/>
    <s v="2024-07-30"/>
  </r>
  <r>
    <n v="1648"/>
    <s v="Keyboard"/>
    <x v="1"/>
    <n v="59633.25"/>
    <s v="20-10-2024"/>
  </r>
  <r>
    <n v="1649"/>
    <s v="Keyboard"/>
    <x v="0"/>
    <n v="5161.6000000000004"/>
    <s v="17-10-2024"/>
  </r>
  <r>
    <n v="1650"/>
    <s v="Laptop"/>
    <x v="0"/>
    <n v="44534.94"/>
    <s v="2024/01/16"/>
  </r>
  <r>
    <n v="1651"/>
    <m/>
    <x v="2"/>
    <n v="56152.94"/>
    <s v="2024/06/19"/>
  </r>
  <r>
    <n v="1652"/>
    <s v="Keyboard"/>
    <x v="3"/>
    <n v="52826.54"/>
    <s v="24-07-2024"/>
  </r>
  <r>
    <n v="1653"/>
    <s v="Laptop"/>
    <x v="2"/>
    <n v="47989.99"/>
    <s v="2024-10-14"/>
  </r>
  <r>
    <n v="1654"/>
    <s v="Keyboard"/>
    <x v="1"/>
    <n v="11971.73"/>
    <s v="2024/01/23"/>
  </r>
  <r>
    <n v="1655"/>
    <s v="Monitor"/>
    <x v="0"/>
    <m/>
    <s v="18-04-2024"/>
  </r>
  <r>
    <n v="1656"/>
    <s v="Mouse"/>
    <x v="2"/>
    <n v="37594.239999999998"/>
    <s v="26-07-2024"/>
  </r>
  <r>
    <n v="1657"/>
    <s v="Laptop"/>
    <x v="0"/>
    <n v="55141.19"/>
    <s v="2024-01-03"/>
  </r>
  <r>
    <n v="1658"/>
    <s v="Tablet"/>
    <x v="2"/>
    <n v="55652.19"/>
    <s v="2024/01/10"/>
  </r>
  <r>
    <n v="1659"/>
    <s v="Keyboard"/>
    <x v="3"/>
    <n v="12604.6"/>
    <s v="09-07-2024"/>
  </r>
  <r>
    <n v="1660"/>
    <s v="Keyboard"/>
    <x v="3"/>
    <n v="43047.27"/>
    <s v="2024-11-15"/>
  </r>
  <r>
    <n v="1661"/>
    <s v="Tablet"/>
    <x v="0"/>
    <n v="41348.339999999997"/>
    <s v="2024/10/04"/>
  </r>
  <r>
    <n v="1662"/>
    <s v="Mouse"/>
    <x v="2"/>
    <n v="6137.2"/>
    <s v="2024/02/10"/>
  </r>
  <r>
    <n v="1663"/>
    <s v="Tablet"/>
    <x v="3"/>
    <n v="1356.78"/>
    <s v="13-11-2024"/>
  </r>
  <r>
    <n v="1664"/>
    <s v="Monitor"/>
    <x v="2"/>
    <n v="15172.95"/>
    <s v="2024/07/01"/>
  </r>
  <r>
    <n v="1665"/>
    <s v="Mouse"/>
    <x v="2"/>
    <n v="36363.01"/>
    <s v="2024-01-17"/>
  </r>
  <r>
    <n v="1666"/>
    <s v="Monitor"/>
    <x v="0"/>
    <n v="52972.81"/>
    <s v="21-09-2024"/>
  </r>
  <r>
    <n v="1667"/>
    <s v="Laptop"/>
    <x v="3"/>
    <n v="41793.550000000003"/>
    <s v="22-06-2024"/>
  </r>
  <r>
    <n v="1668"/>
    <s v="Mouse"/>
    <x v="3"/>
    <n v="45968.3"/>
    <s v="2024-06-25"/>
  </r>
  <r>
    <n v="1669"/>
    <s v="Tablet"/>
    <x v="3"/>
    <n v="36481.660000000003"/>
    <s v="2024-02-15"/>
  </r>
  <r>
    <n v="1670"/>
    <s v="Keyboard"/>
    <x v="1"/>
    <n v="40751.620000000003"/>
    <s v="18-07-2024"/>
  </r>
  <r>
    <n v="1671"/>
    <s v="Keyboard"/>
    <x v="3"/>
    <n v="13039.8"/>
    <s v="17-07-2024"/>
  </r>
  <r>
    <n v="1672"/>
    <s v="Tablet"/>
    <x v="3"/>
    <n v="37175.96"/>
    <s v="2024-04-17"/>
  </r>
  <r>
    <n v="1673"/>
    <s v="Tablet"/>
    <x v="2"/>
    <n v="8283.5400000000009"/>
    <s v="2024/10/30"/>
  </r>
  <r>
    <n v="1674"/>
    <s v="Laptop"/>
    <x v="3"/>
    <n v="50506.879999999997"/>
    <s v="2024/05/09"/>
  </r>
  <r>
    <n v="1675"/>
    <s v="Keyboard"/>
    <x v="2"/>
    <n v="58549.21"/>
    <s v="2024-09-28"/>
  </r>
  <r>
    <n v="1676"/>
    <s v="Monitor"/>
    <x v="1"/>
    <n v="50684.3"/>
    <s v="02-09-2024"/>
  </r>
  <r>
    <n v="1677"/>
    <s v="Keyboard"/>
    <x v="1"/>
    <n v="6199.93"/>
    <s v="2024-10-30"/>
  </r>
  <r>
    <n v="1678"/>
    <s v="Monitor"/>
    <x v="3"/>
    <n v="8027.29"/>
    <s v="2024/04/02"/>
  </r>
  <r>
    <n v="1679"/>
    <s v="Tablet"/>
    <x v="1"/>
    <n v="55787.22"/>
    <s v="04-02-2024"/>
  </r>
  <r>
    <n v="1680"/>
    <s v="Keyboard"/>
    <x v="0"/>
    <n v="49476.85"/>
    <s v="2024-05-24"/>
  </r>
  <r>
    <n v="1681"/>
    <s v="Monitor"/>
    <x v="3"/>
    <n v="42994.9"/>
    <s v="2024-04-30"/>
  </r>
  <r>
    <n v="1682"/>
    <s v="Mouse"/>
    <x v="2"/>
    <n v="40334.449999999997"/>
    <s v="19-05-2024"/>
  </r>
  <r>
    <n v="1683"/>
    <s v="Keyboard"/>
    <x v="2"/>
    <n v="11960.84"/>
    <s v="2024-12-27"/>
  </r>
  <r>
    <n v="1684"/>
    <s v="Keyboard"/>
    <x v="0"/>
    <n v="56039.19"/>
    <s v="03-08-2024"/>
  </r>
  <r>
    <n v="1685"/>
    <s v="Keyboard"/>
    <x v="2"/>
    <n v="51280.53"/>
    <s v="24-05-2024"/>
  </r>
  <r>
    <n v="1686"/>
    <s v="Mouse"/>
    <x v="0"/>
    <n v="17599.689999999999"/>
    <s v="08-02-2024"/>
  </r>
  <r>
    <n v="1687"/>
    <s v="Laptop"/>
    <x v="2"/>
    <n v="12502.54"/>
    <s v="19-04-2024"/>
  </r>
  <r>
    <n v="1688"/>
    <s v="Laptop"/>
    <x v="1"/>
    <n v="26072.26"/>
    <s v="2024/12/08"/>
  </r>
  <r>
    <n v="1689"/>
    <s v="Monitor"/>
    <x v="2"/>
    <n v="25881.040000000001"/>
    <s v="2024-08-13"/>
  </r>
  <r>
    <n v="1690"/>
    <s v="Mouse"/>
    <x v="0"/>
    <n v="53203.67"/>
    <s v="2024/11/04"/>
  </r>
  <r>
    <n v="1691"/>
    <s v="Laptop"/>
    <x v="2"/>
    <n v="36446.74"/>
    <s v="2024-10-22"/>
  </r>
  <r>
    <n v="1692"/>
    <s v="Mouse"/>
    <x v="2"/>
    <n v="11015.79"/>
    <s v="19-05-2024"/>
  </r>
  <r>
    <n v="1693"/>
    <s v="Tablet"/>
    <x v="1"/>
    <n v="15734.91"/>
    <s v="2024/10/11"/>
  </r>
  <r>
    <n v="1694"/>
    <s v="Monitor"/>
    <x v="3"/>
    <n v="44862.68"/>
    <s v="2024-03-22"/>
  </r>
  <r>
    <n v="1695"/>
    <s v="Laptop"/>
    <x v="2"/>
    <n v="8440.7999999999993"/>
    <s v="10-09-2024"/>
  </r>
  <r>
    <n v="1696"/>
    <s v="Mouse"/>
    <x v="1"/>
    <n v="8745.99"/>
    <s v="26-06-2024"/>
  </r>
  <r>
    <n v="1697"/>
    <s v="Tablet"/>
    <x v="1"/>
    <n v="10136.6"/>
    <s v="16-07-2024"/>
  </r>
  <r>
    <n v="1698"/>
    <m/>
    <x v="3"/>
    <n v="9729.5400000000009"/>
    <s v="06-08-2024"/>
  </r>
  <r>
    <n v="1699"/>
    <s v="Monitor"/>
    <x v="1"/>
    <n v="48705.66"/>
    <s v="2024/12/27"/>
  </r>
  <r>
    <n v="1700"/>
    <s v="Keyboard"/>
    <x v="0"/>
    <n v="32763.42"/>
    <s v="2024-08-31"/>
  </r>
  <r>
    <n v="1701"/>
    <s v="Monitor"/>
    <x v="2"/>
    <n v="40920.42"/>
    <s v="2024/03/18"/>
  </r>
  <r>
    <n v="1702"/>
    <s v="Mouse"/>
    <x v="3"/>
    <n v="55496.23"/>
    <s v="2024/11/02"/>
  </r>
  <r>
    <n v="1703"/>
    <s v="Tablet"/>
    <x v="1"/>
    <n v="17683.16"/>
    <s v="04-01-2024"/>
  </r>
  <r>
    <n v="1704"/>
    <s v="Monitor"/>
    <x v="2"/>
    <n v="38782.46"/>
    <s v="2024/11/04"/>
  </r>
  <r>
    <n v="1705"/>
    <s v="Keyboard"/>
    <x v="0"/>
    <n v="24231.55"/>
    <s v="2024-09-11"/>
  </r>
  <r>
    <n v="1706"/>
    <s v="Laptop"/>
    <x v="2"/>
    <n v="10913.18"/>
    <s v="2024/08/05"/>
  </r>
  <r>
    <n v="1707"/>
    <s v="Mouse"/>
    <x v="1"/>
    <n v="1982.97"/>
    <s v="20-10-2024"/>
  </r>
  <r>
    <n v="1708"/>
    <s v="Keyboard"/>
    <x v="1"/>
    <n v="8732.4599999999991"/>
    <s v="2024-08-26"/>
  </r>
  <r>
    <n v="1709"/>
    <s v="Keyboard"/>
    <x v="1"/>
    <n v="35342.14"/>
    <s v="27-01-2024"/>
  </r>
  <r>
    <n v="1710"/>
    <s v="Keyboard"/>
    <x v="2"/>
    <n v="51914.62"/>
    <s v="2024/05/03"/>
  </r>
  <r>
    <n v="1711"/>
    <s v="Keyboard"/>
    <x v="2"/>
    <n v="49761.41"/>
    <s v="2024/03/24"/>
  </r>
  <r>
    <n v="1712"/>
    <s v="Tablet"/>
    <x v="0"/>
    <n v="51613.61"/>
    <s v="2024/02/14"/>
  </r>
  <r>
    <n v="1713"/>
    <s v="Keyboard"/>
    <x v="1"/>
    <n v="14421.41"/>
    <s v="2024-04-26"/>
  </r>
  <r>
    <n v="1714"/>
    <s v="Monitor"/>
    <x v="0"/>
    <n v="53577.27"/>
    <s v="2024-01-10"/>
  </r>
  <r>
    <n v="1715"/>
    <s v="Mouse"/>
    <x v="3"/>
    <n v="11873.78"/>
    <s v="2024/07/31"/>
  </r>
  <r>
    <n v="1716"/>
    <m/>
    <x v="1"/>
    <n v="56213.74"/>
    <s v="2024/06/19"/>
  </r>
  <r>
    <n v="1717"/>
    <m/>
    <x v="0"/>
    <n v="26537.56"/>
    <s v="18-10-2024"/>
  </r>
  <r>
    <n v="1718"/>
    <s v="Mouse"/>
    <x v="0"/>
    <n v="55687.55"/>
    <s v="07-11-2024"/>
  </r>
  <r>
    <n v="1719"/>
    <s v="Laptop"/>
    <x v="3"/>
    <n v="20135.400000000001"/>
    <s v="2024/02/26"/>
  </r>
  <r>
    <n v="1720"/>
    <s v="Monitor"/>
    <x v="2"/>
    <n v="5871.76"/>
    <s v="18-11-2024"/>
  </r>
  <r>
    <n v="1721"/>
    <s v="Keyboard"/>
    <x v="3"/>
    <n v="28861.360000000001"/>
    <s v="16-07-2024"/>
  </r>
  <r>
    <n v="1722"/>
    <m/>
    <x v="2"/>
    <n v="6388.22"/>
    <s v="2024-07-09"/>
  </r>
  <r>
    <n v="1723"/>
    <m/>
    <x v="1"/>
    <n v="45173.21"/>
    <s v="20-11-2024"/>
  </r>
  <r>
    <n v="1724"/>
    <s v="Laptop"/>
    <x v="2"/>
    <n v="58669.94"/>
    <s v="2024/07/15"/>
  </r>
  <r>
    <n v="1725"/>
    <s v="Mouse"/>
    <x v="3"/>
    <n v="18429.900000000001"/>
    <s v="26-02-2024"/>
  </r>
  <r>
    <n v="1726"/>
    <s v="Mouse"/>
    <x v="4"/>
    <n v="2707.71"/>
    <s v="21-09-2024"/>
  </r>
  <r>
    <n v="1727"/>
    <s v="Monitor"/>
    <x v="2"/>
    <n v="15059.09"/>
    <s v="18-04-2024"/>
  </r>
  <r>
    <n v="1591"/>
    <s v="Tablet"/>
    <x v="1"/>
    <n v="58051.14"/>
    <s v="2024-01-27"/>
  </r>
  <r>
    <n v="1729"/>
    <s v="Monitor"/>
    <x v="1"/>
    <n v="39939.61"/>
    <s v="2024/02/07"/>
  </r>
  <r>
    <n v="1730"/>
    <s v="Tablet"/>
    <x v="2"/>
    <n v="33470.730000000003"/>
    <s v="2024-08-07"/>
  </r>
  <r>
    <n v="1731"/>
    <s v="Tablet"/>
    <x v="1"/>
    <n v="16739.55"/>
    <s v="30-10-2024"/>
  </r>
  <r>
    <n v="1732"/>
    <s v="Laptop"/>
    <x v="3"/>
    <n v="29970.17"/>
    <s v="12-05-2024"/>
  </r>
  <r>
    <n v="1733"/>
    <s v="Mouse"/>
    <x v="0"/>
    <n v="38820.47"/>
    <s v="2024/01/17"/>
  </r>
  <r>
    <n v="1734"/>
    <s v="Keyboard"/>
    <x v="2"/>
    <n v="40935.46"/>
    <s v="2024-07-16"/>
  </r>
  <r>
    <n v="1735"/>
    <s v="Mouse"/>
    <x v="2"/>
    <n v="25626.11"/>
    <s v="2024/01/03"/>
  </r>
  <r>
    <n v="1736"/>
    <s v="Laptop"/>
    <x v="1"/>
    <n v="37593.86"/>
    <s v="2024/11/17"/>
  </r>
  <r>
    <n v="1737"/>
    <s v="Monitor"/>
    <x v="2"/>
    <n v="42537.86"/>
    <s v="06-08-2024"/>
  </r>
  <r>
    <n v="1738"/>
    <s v="Tablet"/>
    <x v="2"/>
    <n v="18893.689999999999"/>
    <s v="24-06-2024"/>
  </r>
  <r>
    <n v="1739"/>
    <s v="Monitor"/>
    <x v="1"/>
    <n v="22220.86"/>
    <s v="2024/09/29"/>
  </r>
  <r>
    <n v="1740"/>
    <s v="Mouse"/>
    <x v="3"/>
    <n v="14324.54"/>
    <s v="2024-12-13"/>
  </r>
  <r>
    <n v="1741"/>
    <s v="Mouse"/>
    <x v="3"/>
    <n v="43894.09"/>
    <s v="24-03-2024"/>
  </r>
  <r>
    <n v="1742"/>
    <s v="Laptop"/>
    <x v="2"/>
    <n v="24410.57"/>
    <s v="01-12-2024"/>
  </r>
  <r>
    <n v="1743"/>
    <s v="Mouse"/>
    <x v="3"/>
    <n v="33265.99"/>
    <s v="25-04-2024"/>
  </r>
  <r>
    <n v="1744"/>
    <s v="Monitor"/>
    <x v="2"/>
    <n v="30743.84"/>
    <s v="2024/08/13"/>
  </r>
  <r>
    <n v="1745"/>
    <s v="Mouse"/>
    <x v="0"/>
    <n v="42749.61"/>
    <s v="31-03-2024"/>
  </r>
  <r>
    <n v="1746"/>
    <s v="Keyboard"/>
    <x v="0"/>
    <m/>
    <s v="2024-03-12"/>
  </r>
  <r>
    <n v="1747"/>
    <s v="Laptop"/>
    <x v="4"/>
    <n v="5805.39"/>
    <s v="2024/08/30"/>
  </r>
  <r>
    <n v="1748"/>
    <s v="Keyboard"/>
    <x v="2"/>
    <n v="10637.91"/>
    <s v="05-11-2024"/>
  </r>
  <r>
    <n v="1749"/>
    <s v="Keyboard"/>
    <x v="2"/>
    <n v="26704.65"/>
    <s v="2024-08-18"/>
  </r>
  <r>
    <n v="1750"/>
    <s v="Tablet"/>
    <x v="4"/>
    <n v="9004.0300000000007"/>
    <s v="2024/02/22"/>
  </r>
  <r>
    <n v="1751"/>
    <s v="Keyboard"/>
    <x v="1"/>
    <n v="30912.98"/>
    <s v="26-05-2024"/>
  </r>
  <r>
    <n v="1752"/>
    <s v="Tablet"/>
    <x v="3"/>
    <n v="17468.7"/>
    <s v="2024/01/11"/>
  </r>
  <r>
    <n v="1753"/>
    <s v="Monitor"/>
    <x v="3"/>
    <n v="58560.51"/>
    <s v="2024/03/31"/>
  </r>
  <r>
    <n v="1754"/>
    <s v="Tablet"/>
    <x v="0"/>
    <n v="16050.51"/>
    <s v="07-10-2024"/>
  </r>
  <r>
    <n v="1755"/>
    <s v="Monitor"/>
    <x v="2"/>
    <n v="49677.08"/>
    <s v="21-09-2024"/>
  </r>
  <r>
    <n v="1756"/>
    <s v="Laptop"/>
    <x v="1"/>
    <n v="4897.26"/>
    <s v="2024-11-21"/>
  </r>
  <r>
    <n v="1757"/>
    <s v="Keyboard"/>
    <x v="0"/>
    <n v="19108.93"/>
    <s v="26-01-2024"/>
  </r>
  <r>
    <n v="1758"/>
    <m/>
    <x v="2"/>
    <n v="53559.1"/>
    <s v="26-07-2024"/>
  </r>
  <r>
    <n v="1759"/>
    <s v="Mouse"/>
    <x v="1"/>
    <n v="50491.519999999997"/>
    <s v="2024-09-20"/>
  </r>
  <r>
    <n v="1760"/>
    <s v="Tablet"/>
    <x v="1"/>
    <m/>
    <s v="2024/09/04"/>
  </r>
  <r>
    <n v="1761"/>
    <s v="Monitor"/>
    <x v="2"/>
    <n v="6389.84"/>
    <s v="2024-06-02"/>
  </r>
  <r>
    <n v="1762"/>
    <s v="Monitor"/>
    <x v="1"/>
    <n v="24398.84"/>
    <s v="2024/04/02"/>
  </r>
  <r>
    <n v="1763"/>
    <s v="Laptop"/>
    <x v="1"/>
    <n v="21627.25"/>
    <s v="2024/03/31"/>
  </r>
  <r>
    <n v="1764"/>
    <s v="Tablet"/>
    <x v="0"/>
    <n v="44759.360000000001"/>
    <s v="2024/02/11"/>
  </r>
  <r>
    <n v="1765"/>
    <s v="Monitor"/>
    <x v="0"/>
    <n v="51657.41"/>
    <s v="2024/05/08"/>
  </r>
  <r>
    <n v="1766"/>
    <s v="Mouse"/>
    <x v="3"/>
    <n v="20017.16"/>
    <s v="2024-02-22"/>
  </r>
  <r>
    <n v="1767"/>
    <s v="Laptop"/>
    <x v="1"/>
    <n v="17881.97"/>
    <s v="2024/03/05"/>
  </r>
  <r>
    <n v="1768"/>
    <m/>
    <x v="0"/>
    <n v="47546.69"/>
    <s v="2024/11/06"/>
  </r>
  <r>
    <n v="1769"/>
    <s v="Monitor"/>
    <x v="2"/>
    <n v="9510.16"/>
    <s v="04-02-2024"/>
  </r>
  <r>
    <n v="1770"/>
    <s v="Laptop"/>
    <x v="3"/>
    <n v="34861.82"/>
    <s v="23-09-2024"/>
  </r>
  <r>
    <n v="1771"/>
    <s v="Monitor"/>
    <x v="0"/>
    <m/>
    <s v="12-04-2024"/>
  </r>
  <r>
    <n v="1772"/>
    <s v="Laptop"/>
    <x v="0"/>
    <n v="12603.37"/>
    <s v="2024-06-24"/>
  </r>
  <r>
    <n v="1773"/>
    <s v="Keyboard"/>
    <x v="1"/>
    <n v="40932.379999999997"/>
    <s v="01-01-2024"/>
  </r>
  <r>
    <n v="1774"/>
    <s v="Monitor"/>
    <x v="0"/>
    <n v="31282.37"/>
    <s v="2024/11/20"/>
  </r>
  <r>
    <n v="1775"/>
    <s v="Keyboard"/>
    <x v="1"/>
    <n v="10844.07"/>
    <s v="2024/10/18"/>
  </r>
  <r>
    <n v="1776"/>
    <s v="Tablet"/>
    <x v="2"/>
    <n v="13879.88"/>
    <s v="26-10-2024"/>
  </r>
  <r>
    <n v="1777"/>
    <s v="Tablet"/>
    <x v="2"/>
    <n v="50111.07"/>
    <s v="2024/02/18"/>
  </r>
  <r>
    <n v="1778"/>
    <s v="Keyboard"/>
    <x v="3"/>
    <n v="41514.04"/>
    <s v="2024/01/02"/>
  </r>
  <r>
    <n v="1779"/>
    <s v="Monitor"/>
    <x v="1"/>
    <n v="26378.42"/>
    <s v="2024/09/03"/>
  </r>
  <r>
    <n v="1780"/>
    <s v="Mouse"/>
    <x v="1"/>
    <n v="57217.23"/>
    <s v="27-12-2024"/>
  </r>
  <r>
    <n v="1781"/>
    <s v="Tablet"/>
    <x v="1"/>
    <n v="43542.22"/>
    <s v="2024-05-22"/>
  </r>
  <r>
    <n v="1782"/>
    <s v="Laptop"/>
    <x v="3"/>
    <n v="53990.64"/>
    <s v="15-03-2024"/>
  </r>
  <r>
    <n v="1783"/>
    <s v="Keyboard"/>
    <x v="4"/>
    <n v="16908.169999999998"/>
    <s v="2024/02/27"/>
  </r>
  <r>
    <n v="1784"/>
    <s v="Laptop"/>
    <x v="2"/>
    <n v="14971.06"/>
    <s v="2024-01-08"/>
  </r>
  <r>
    <n v="1785"/>
    <s v="Laptop"/>
    <x v="0"/>
    <n v="18665.96"/>
    <s v="2024/01/30"/>
  </r>
  <r>
    <n v="1786"/>
    <s v="Mouse"/>
    <x v="2"/>
    <n v="24566.5"/>
    <s v="03-01-2024"/>
  </r>
  <r>
    <n v="1787"/>
    <s v="Keyboard"/>
    <x v="3"/>
    <n v="5134.05"/>
    <s v="2024-10-23"/>
  </r>
  <r>
    <n v="1788"/>
    <s v="Laptop"/>
    <x v="3"/>
    <n v="4727.8"/>
    <s v="25-11-2024"/>
  </r>
  <r>
    <n v="1789"/>
    <s v="Monitor"/>
    <x v="3"/>
    <n v="32553.17"/>
    <s v="2024-01-03"/>
  </r>
  <r>
    <n v="1790"/>
    <s v="Laptop"/>
    <x v="1"/>
    <n v="25245.61"/>
    <s v="11-01-2024"/>
  </r>
  <r>
    <n v="1791"/>
    <s v="Monitor"/>
    <x v="4"/>
    <n v="14952.02"/>
    <s v="23-04-2024"/>
  </r>
  <r>
    <n v="1792"/>
    <s v="Monitor"/>
    <x v="2"/>
    <n v="43324.99"/>
    <s v="2024-10-01"/>
  </r>
  <r>
    <n v="1793"/>
    <m/>
    <x v="4"/>
    <n v="27868.3"/>
    <s v="2024-06-18"/>
  </r>
  <r>
    <n v="1794"/>
    <s v="Laptop"/>
    <x v="0"/>
    <n v="23591.279999999999"/>
    <s v="2024/12/17"/>
  </r>
  <r>
    <n v="1795"/>
    <s v="Tablet"/>
    <x v="1"/>
    <n v="16239.73"/>
    <s v="2024/09/25"/>
  </r>
  <r>
    <n v="1796"/>
    <s v="Monitor"/>
    <x v="1"/>
    <n v="54791.94"/>
    <s v="23-07-2024"/>
  </r>
  <r>
    <n v="1797"/>
    <s v="Mouse"/>
    <x v="0"/>
    <n v="27616.67"/>
    <s v="2024-08-03"/>
  </r>
  <r>
    <n v="1798"/>
    <s v="Keyboard"/>
    <x v="0"/>
    <n v="50071.75"/>
    <s v="02-09-2024"/>
  </r>
  <r>
    <n v="1799"/>
    <s v="Monitor"/>
    <x v="1"/>
    <n v="6849.62"/>
    <s v="20-05-2024"/>
  </r>
  <r>
    <n v="1800"/>
    <s v="Mouse"/>
    <x v="2"/>
    <n v="56081.25"/>
    <s v="04-07-2024"/>
  </r>
  <r>
    <n v="1801"/>
    <s v="Tablet"/>
    <x v="2"/>
    <n v="35562.699999999997"/>
    <s v="18-11-2024"/>
  </r>
  <r>
    <n v="1802"/>
    <s v="Monitor"/>
    <x v="1"/>
    <n v="58397.81"/>
    <s v="2024-04-01"/>
  </r>
  <r>
    <n v="1803"/>
    <s v="Laptop"/>
    <x v="0"/>
    <n v="23974"/>
    <s v="2024-12-21"/>
  </r>
  <r>
    <n v="1804"/>
    <s v="Monitor"/>
    <x v="4"/>
    <n v="55578.81"/>
    <s v="2024-07-26"/>
  </r>
  <r>
    <n v="1805"/>
    <s v="Keyboard"/>
    <x v="4"/>
    <n v="49700.95"/>
    <s v="2024-10-08"/>
  </r>
  <r>
    <n v="1806"/>
    <m/>
    <x v="3"/>
    <n v="54042.41"/>
    <s v="2024-10-20"/>
  </r>
  <r>
    <n v="1807"/>
    <s v="Laptop"/>
    <x v="2"/>
    <n v="29548.76"/>
    <s v="17-01-2024"/>
  </r>
  <r>
    <n v="1808"/>
    <s v="Mouse"/>
    <x v="0"/>
    <n v="48502.03"/>
    <s v="2024/06/06"/>
  </r>
  <r>
    <n v="1809"/>
    <s v="Laptop"/>
    <x v="3"/>
    <n v="57930.79"/>
    <s v="2024-04-03"/>
  </r>
  <r>
    <n v="1810"/>
    <s v="Laptop"/>
    <x v="3"/>
    <n v="1848"/>
    <s v="2024-01-02"/>
  </r>
  <r>
    <n v="1781"/>
    <s v="Keyboard"/>
    <x v="0"/>
    <n v="5260.58"/>
    <s v="2024-01-25"/>
  </r>
  <r>
    <n v="1812"/>
    <s v="Keyboard"/>
    <x v="3"/>
    <n v="52471.28"/>
    <s v="2024/02/17"/>
  </r>
  <r>
    <n v="1813"/>
    <s v="Laptop"/>
    <x v="1"/>
    <n v="15938.74"/>
    <s v="2024/06/23"/>
  </r>
  <r>
    <n v="1814"/>
    <s v="Keyboard"/>
    <x v="0"/>
    <n v="52120.61"/>
    <s v="03-08-2024"/>
  </r>
  <r>
    <n v="1815"/>
    <s v="Keyboard"/>
    <x v="0"/>
    <n v="6855.02"/>
    <s v="2024/09/10"/>
  </r>
  <r>
    <n v="1816"/>
    <s v="Laptop"/>
    <x v="1"/>
    <n v="37765.129999999997"/>
    <s v="2024/01/15"/>
  </r>
  <r>
    <n v="1817"/>
    <s v="Monitor"/>
    <x v="0"/>
    <n v="8481.31"/>
    <s v="19-09-2024"/>
  </r>
  <r>
    <n v="1818"/>
    <s v="Mouse"/>
    <x v="0"/>
    <n v="51337.37"/>
    <s v="2024-03-19"/>
  </r>
  <r>
    <n v="1819"/>
    <s v="Laptop"/>
    <x v="2"/>
    <n v="24257.24"/>
    <s v="01-10-2024"/>
  </r>
  <r>
    <n v="1820"/>
    <s v="Monitor"/>
    <x v="1"/>
    <n v="35686.239999999998"/>
    <s v="2024-07-07"/>
  </r>
  <r>
    <n v="1821"/>
    <s v="Keyboard"/>
    <x v="1"/>
    <n v="58721.52"/>
    <s v="09-12-2024"/>
  </r>
  <r>
    <n v="1822"/>
    <s v="Mouse"/>
    <x v="1"/>
    <m/>
    <s v="28-09-2024"/>
  </r>
  <r>
    <n v="1823"/>
    <s v="Keyboard"/>
    <x v="0"/>
    <n v="17408.62"/>
    <s v="2024/10/14"/>
  </r>
  <r>
    <n v="1824"/>
    <s v="Mouse"/>
    <x v="0"/>
    <n v="2247.84"/>
    <s v="15-09-2024"/>
  </r>
  <r>
    <n v="1825"/>
    <s v="Keyboard"/>
    <x v="0"/>
    <n v="28294.01"/>
    <s v="2024/04/30"/>
  </r>
  <r>
    <n v="1826"/>
    <s v="Tablet"/>
    <x v="3"/>
    <n v="54448.79"/>
    <s v="2024/04/15"/>
  </r>
  <r>
    <n v="1827"/>
    <s v="Keyboard"/>
    <x v="3"/>
    <n v="35413.300000000003"/>
    <s v="2024-12-12"/>
  </r>
  <r>
    <n v="1828"/>
    <s v="Monitor"/>
    <x v="0"/>
    <n v="59358.39"/>
    <s v="30-06-2024"/>
  </r>
  <r>
    <n v="1829"/>
    <m/>
    <x v="3"/>
    <n v="47416.66"/>
    <s v="09-04-2024"/>
  </r>
  <r>
    <n v="1830"/>
    <s v="Mouse"/>
    <x v="1"/>
    <n v="12504.81"/>
    <s v="2024/12/29"/>
  </r>
  <r>
    <n v="1831"/>
    <s v="Laptop"/>
    <x v="1"/>
    <n v="48307.73"/>
    <s v="2024-11-26"/>
  </r>
  <r>
    <n v="1832"/>
    <s v="Tablet"/>
    <x v="0"/>
    <n v="2620.7600000000002"/>
    <s v="2024-07-20"/>
  </r>
  <r>
    <n v="1833"/>
    <s v="Mouse"/>
    <x v="2"/>
    <n v="12053.46"/>
    <s v="2024/10/21"/>
  </r>
  <r>
    <n v="1834"/>
    <s v="Keyboard"/>
    <x v="0"/>
    <n v="55467.27"/>
    <s v="2024-11-01"/>
  </r>
  <r>
    <n v="1835"/>
    <s v="Laptop"/>
    <x v="0"/>
    <n v="39323.03"/>
    <s v="2024/05/25"/>
  </r>
  <r>
    <n v="1836"/>
    <s v="Laptop"/>
    <x v="0"/>
    <n v="32093.45"/>
    <s v="07-03-2024"/>
  </r>
  <r>
    <n v="1837"/>
    <s v="Mouse"/>
    <x v="0"/>
    <n v="7498.39"/>
    <s v="2024/05/21"/>
  </r>
  <r>
    <n v="1838"/>
    <s v="Monitor"/>
    <x v="1"/>
    <n v="9592.09"/>
    <s v="2024/08/16"/>
  </r>
  <r>
    <n v="1839"/>
    <s v="Mouse"/>
    <x v="4"/>
    <n v="9333.3799999999992"/>
    <s v="30-09-2024"/>
  </r>
  <r>
    <n v="1840"/>
    <s v="Keyboard"/>
    <x v="0"/>
    <n v="39365.050000000003"/>
    <s v="2024-06-11"/>
  </r>
  <r>
    <n v="1841"/>
    <s v="Monitor"/>
    <x v="0"/>
    <n v="53436.4"/>
    <s v="04-11-2024"/>
  </r>
  <r>
    <n v="1842"/>
    <s v="Laptop"/>
    <x v="1"/>
    <n v="23027.84"/>
    <s v="2024-10-19"/>
  </r>
  <r>
    <n v="1843"/>
    <s v="Keyboard"/>
    <x v="1"/>
    <n v="8160.94"/>
    <s v="2024/05/11"/>
  </r>
  <r>
    <n v="1844"/>
    <s v="Monitor"/>
    <x v="3"/>
    <m/>
    <s v="2024/12/29"/>
  </r>
  <r>
    <n v="1845"/>
    <s v="Tablet"/>
    <x v="0"/>
    <n v="52142.47"/>
    <s v="19-09-2024"/>
  </r>
  <r>
    <n v="1846"/>
    <s v="Tablet"/>
    <x v="3"/>
    <n v="10982.98"/>
    <s v="2024-06-21"/>
  </r>
  <r>
    <n v="1847"/>
    <s v="Monitor"/>
    <x v="3"/>
    <n v="2066.7800000000002"/>
    <s v="09-07-2024"/>
  </r>
  <r>
    <n v="1848"/>
    <s v="Tablet"/>
    <x v="0"/>
    <n v="28906.45"/>
    <s v="2024/01/22"/>
  </r>
  <r>
    <n v="1849"/>
    <s v="Mouse"/>
    <x v="0"/>
    <n v="6745.23"/>
    <s v="2024-08-08"/>
  </r>
  <r>
    <n v="1850"/>
    <s v="Tablet"/>
    <x v="1"/>
    <n v="46729.83"/>
    <s v="2024-09-02"/>
  </r>
  <r>
    <n v="1851"/>
    <s v="Keyboard"/>
    <x v="0"/>
    <n v="43102.83"/>
    <s v="15-10-2024"/>
  </r>
  <r>
    <n v="1852"/>
    <s v="Tablet"/>
    <x v="3"/>
    <n v="44931.22"/>
    <s v="29-08-2024"/>
  </r>
  <r>
    <n v="1853"/>
    <s v="Keyboard"/>
    <x v="2"/>
    <n v="43748.92"/>
    <s v="2024/10/28"/>
  </r>
  <r>
    <n v="1854"/>
    <m/>
    <x v="3"/>
    <n v="34370.61"/>
    <s v="2024/08/06"/>
  </r>
  <r>
    <n v="1855"/>
    <s v="Mouse"/>
    <x v="3"/>
    <n v="29547.15"/>
    <s v="2024/08/08"/>
  </r>
  <r>
    <n v="1856"/>
    <s v="Monitor"/>
    <x v="3"/>
    <n v="2728.67"/>
    <s v="04-09-2024"/>
  </r>
  <r>
    <n v="1857"/>
    <s v="Laptop"/>
    <x v="2"/>
    <n v="19609.57"/>
    <s v="12-01-2024"/>
  </r>
  <r>
    <n v="1858"/>
    <s v="Keyboard"/>
    <x v="0"/>
    <n v="6569.45"/>
    <s v="2024/11/07"/>
  </r>
  <r>
    <n v="1859"/>
    <s v="Keyboard"/>
    <x v="2"/>
    <n v="39069.019999999997"/>
    <s v="23-12-2024"/>
  </r>
  <r>
    <n v="1860"/>
    <s v="Keyboard"/>
    <x v="0"/>
    <n v="42874.49"/>
    <s v="12-04-2024"/>
  </r>
  <r>
    <n v="1861"/>
    <s v="Keyboard"/>
    <x v="1"/>
    <n v="28034.080000000002"/>
    <s v="28-11-2024"/>
  </r>
  <r>
    <n v="1862"/>
    <s v="Tablet"/>
    <x v="1"/>
    <n v="35346.54"/>
    <s v="2024/05/22"/>
  </r>
  <r>
    <n v="1863"/>
    <s v="Mouse"/>
    <x v="0"/>
    <n v="56195.86"/>
    <s v="2024/09/26"/>
  </r>
  <r>
    <n v="1864"/>
    <s v="Mouse"/>
    <x v="2"/>
    <n v="53500.35"/>
    <s v="20-05-2024"/>
  </r>
  <r>
    <n v="1865"/>
    <s v="Tablet"/>
    <x v="3"/>
    <n v="44815.519999999997"/>
    <s v="06-02-2024"/>
  </r>
  <r>
    <n v="1866"/>
    <s v="Tablet"/>
    <x v="0"/>
    <n v="27134.11"/>
    <s v="25-08-2024"/>
  </r>
  <r>
    <n v="1867"/>
    <s v="Mouse"/>
    <x v="2"/>
    <n v="13007.16"/>
    <s v="2024-01-20"/>
  </r>
  <r>
    <n v="1868"/>
    <m/>
    <x v="0"/>
    <n v="45138.23"/>
    <s v="2024/10/26"/>
  </r>
  <r>
    <n v="1869"/>
    <s v="Monitor"/>
    <x v="1"/>
    <n v="46720.78"/>
    <s v="12-04-2024"/>
  </r>
  <r>
    <n v="1870"/>
    <s v="Laptop"/>
    <x v="3"/>
    <n v="26728.16"/>
    <s v="13-11-2024"/>
  </r>
  <r>
    <n v="1871"/>
    <s v="Laptop"/>
    <x v="0"/>
    <n v="15876.49"/>
    <s v="2024-04-30"/>
  </r>
  <r>
    <n v="1872"/>
    <s v="Tablet"/>
    <x v="0"/>
    <n v="32242.48"/>
    <s v="15-02-2024"/>
  </r>
  <r>
    <n v="1873"/>
    <s v="Tablet"/>
    <x v="1"/>
    <n v="37720.18"/>
    <s v="2024/06/09"/>
  </r>
  <r>
    <n v="1874"/>
    <s v="Mouse"/>
    <x v="0"/>
    <n v="19897.63"/>
    <s v="15-02-2024"/>
  </r>
  <r>
    <n v="1875"/>
    <s v="Monitor"/>
    <x v="2"/>
    <n v="41775.25"/>
    <s v="06-06-2024"/>
  </r>
  <r>
    <n v="1876"/>
    <s v="Monitor"/>
    <x v="3"/>
    <n v="56107.95"/>
    <s v="15-08-2024"/>
  </r>
  <r>
    <n v="1877"/>
    <s v="Tablet"/>
    <x v="3"/>
    <n v="45472.32"/>
    <s v="2024/05/24"/>
  </r>
  <r>
    <n v="1878"/>
    <s v="Mouse"/>
    <x v="3"/>
    <n v="37731.949999999997"/>
    <s v="23-03-2024"/>
  </r>
  <r>
    <n v="1879"/>
    <s v="Tablet"/>
    <x v="3"/>
    <n v="17340.32"/>
    <s v="2024/08/24"/>
  </r>
  <r>
    <n v="1880"/>
    <s v="Keyboard"/>
    <x v="3"/>
    <n v="22938.37"/>
    <s v="2024/01/25"/>
  </r>
  <r>
    <n v="1881"/>
    <s v="Mouse"/>
    <x v="3"/>
    <n v="50625.33"/>
    <s v="2024/11/24"/>
  </r>
  <r>
    <n v="1882"/>
    <s v="Mouse"/>
    <x v="2"/>
    <n v="41307.360000000001"/>
    <s v="2024-12-09"/>
  </r>
  <r>
    <n v="1883"/>
    <s v="Laptop"/>
    <x v="0"/>
    <n v="43902.61"/>
    <s v="2024-01-15"/>
  </r>
  <r>
    <n v="1884"/>
    <s v="Monitor"/>
    <x v="2"/>
    <n v="54557.3"/>
    <s v="03-05-2024"/>
  </r>
  <r>
    <n v="1885"/>
    <s v="Laptop"/>
    <x v="0"/>
    <n v="1536.79"/>
    <s v="2024-03-11"/>
  </r>
  <r>
    <n v="1886"/>
    <s v="Laptop"/>
    <x v="3"/>
    <n v="58262.73"/>
    <s v="08-11-2024"/>
  </r>
  <r>
    <n v="1887"/>
    <s v="Monitor"/>
    <x v="0"/>
    <n v="9521.75"/>
    <s v="01-04-2024"/>
  </r>
  <r>
    <n v="1888"/>
    <s v="Tablet"/>
    <x v="3"/>
    <m/>
    <s v="13-10-2024"/>
  </r>
  <r>
    <n v="1889"/>
    <s v="Laptop"/>
    <x v="3"/>
    <n v="11844.96"/>
    <s v="2024/12/07"/>
  </r>
  <r>
    <n v="1890"/>
    <s v="Monitor"/>
    <x v="0"/>
    <n v="25794.73"/>
    <s v="2024/06/15"/>
  </r>
  <r>
    <n v="1891"/>
    <s v="Laptop"/>
    <x v="3"/>
    <n v="55282.25"/>
    <s v="2024-12-05"/>
  </r>
  <r>
    <n v="1892"/>
    <s v="Monitor"/>
    <x v="0"/>
    <n v="30607.4"/>
    <s v="29-05-2024"/>
  </r>
  <r>
    <n v="1893"/>
    <s v="Mouse"/>
    <x v="1"/>
    <n v="18798.07"/>
    <s v="26-08-2024"/>
  </r>
  <r>
    <n v="1894"/>
    <s v="Monitor"/>
    <x v="4"/>
    <n v="54212.66"/>
    <s v="22-10-2024"/>
  </r>
  <r>
    <n v="1895"/>
    <s v="Tablet"/>
    <x v="1"/>
    <n v="8614.84"/>
    <s v="21-12-2024"/>
  </r>
  <r>
    <n v="1896"/>
    <s v="Laptop"/>
    <x v="0"/>
    <m/>
    <s v="22-01-2024"/>
  </r>
  <r>
    <n v="1897"/>
    <s v="Mouse"/>
    <x v="0"/>
    <n v="39460.22"/>
    <s v="2024-08-14"/>
  </r>
  <r>
    <n v="1898"/>
    <s v="Monitor"/>
    <x v="1"/>
    <n v="42272.14"/>
    <s v="18-05-2024"/>
  </r>
  <r>
    <n v="1899"/>
    <s v="Monitor"/>
    <x v="2"/>
    <n v="36971.65"/>
    <s v="2024/09/09"/>
  </r>
  <r>
    <n v="1900"/>
    <s v="Monitor"/>
    <x v="1"/>
    <n v="53790.11"/>
    <s v="14-11-2024"/>
  </r>
  <r>
    <n v="1901"/>
    <s v="Mouse"/>
    <x v="3"/>
    <n v="12682.18"/>
    <s v="22-03-2024"/>
  </r>
  <r>
    <n v="1902"/>
    <s v="Monitor"/>
    <x v="0"/>
    <n v="8963.73"/>
    <s v="05-03-2024"/>
  </r>
  <r>
    <n v="1903"/>
    <s v="Monitor"/>
    <x v="1"/>
    <n v="20588.04"/>
    <s v="2024-10-04"/>
  </r>
  <r>
    <n v="1904"/>
    <s v="Tablet"/>
    <x v="0"/>
    <m/>
    <s v="2024-12-16"/>
  </r>
  <r>
    <n v="1905"/>
    <s v="Mouse"/>
    <x v="4"/>
    <n v="52669.99"/>
    <s v="15-03-2024"/>
  </r>
  <r>
    <n v="1906"/>
    <m/>
    <x v="1"/>
    <n v="33065.58"/>
    <s v="17-05-2024"/>
  </r>
  <r>
    <n v="1907"/>
    <s v="Monitor"/>
    <x v="3"/>
    <n v="40049.760000000002"/>
    <s v="25-02-2024"/>
  </r>
  <r>
    <n v="1908"/>
    <m/>
    <x v="4"/>
    <n v="24977.97"/>
    <s v="2024-04-19"/>
  </r>
  <r>
    <n v="1909"/>
    <s v="Mouse"/>
    <x v="3"/>
    <n v="14692.64"/>
    <s v="2024/05/29"/>
  </r>
  <r>
    <n v="1910"/>
    <m/>
    <x v="1"/>
    <n v="15374.68"/>
    <s v="28-09-2024"/>
  </r>
  <r>
    <n v="1911"/>
    <s v="Mouse"/>
    <x v="2"/>
    <n v="20904.189999999999"/>
    <s v="09-06-2024"/>
  </r>
  <r>
    <n v="1694"/>
    <m/>
    <x v="3"/>
    <n v="40202.589999999997"/>
    <s v="17-03-2024"/>
  </r>
  <r>
    <n v="1913"/>
    <s v="Tablet"/>
    <x v="3"/>
    <n v="34641.050000000003"/>
    <s v="2024-05-04"/>
  </r>
  <r>
    <n v="1914"/>
    <s v="Mouse"/>
    <x v="3"/>
    <n v="7736.84"/>
    <s v="15-11-2024"/>
  </r>
  <r>
    <n v="1863"/>
    <s v="Laptop"/>
    <x v="2"/>
    <n v="59953.23"/>
    <s v="2024/02/29"/>
  </r>
  <r>
    <n v="1916"/>
    <s v="Laptop"/>
    <x v="3"/>
    <n v="33097.769999999997"/>
    <s v="2024-01-14"/>
  </r>
  <r>
    <n v="1917"/>
    <s v="Keyboard"/>
    <x v="0"/>
    <n v="3942.01"/>
    <s v="22-07-2024"/>
  </r>
  <r>
    <n v="1918"/>
    <s v="Monitor"/>
    <x v="2"/>
    <n v="21945.9"/>
    <s v="21-10-2024"/>
  </r>
  <r>
    <n v="1919"/>
    <s v="Tablet"/>
    <x v="0"/>
    <n v="51850.94"/>
    <s v="2024-02-02"/>
  </r>
  <r>
    <n v="1920"/>
    <s v="Mouse"/>
    <x v="0"/>
    <n v="17849.2"/>
    <s v="10-08-2024"/>
  </r>
  <r>
    <n v="1921"/>
    <s v="Tablet"/>
    <x v="3"/>
    <n v="22548.45"/>
    <s v="2024-11-12"/>
  </r>
  <r>
    <n v="1922"/>
    <s v="Monitor"/>
    <x v="1"/>
    <n v="46665.71"/>
    <s v="2024/01/30"/>
  </r>
  <r>
    <n v="1923"/>
    <s v="Tablet"/>
    <x v="0"/>
    <n v="32592.76"/>
    <s v="2024-10-07"/>
  </r>
  <r>
    <n v="1924"/>
    <s v="Monitor"/>
    <x v="0"/>
    <n v="14812.06"/>
    <s v="2024/12/15"/>
  </r>
  <r>
    <n v="1925"/>
    <s v="Mouse"/>
    <x v="0"/>
    <n v="6251.57"/>
    <s v="2024-02-22"/>
  </r>
  <r>
    <n v="1926"/>
    <s v="Keyboard"/>
    <x v="2"/>
    <n v="18041.53"/>
    <s v="2024-10-03"/>
  </r>
  <r>
    <n v="1927"/>
    <s v="Keyboard"/>
    <x v="3"/>
    <n v="19282.07"/>
    <s v="2024/11/21"/>
  </r>
  <r>
    <n v="1928"/>
    <s v="Keyboard"/>
    <x v="2"/>
    <n v="2144.67"/>
    <s v="2024-11-14"/>
  </r>
  <r>
    <n v="1929"/>
    <s v="Laptop"/>
    <x v="3"/>
    <n v="52496.98"/>
    <s v="2024/06/07"/>
  </r>
  <r>
    <n v="1930"/>
    <s v="Laptop"/>
    <x v="0"/>
    <n v="35106.25"/>
    <s v="2024/06/04"/>
  </r>
  <r>
    <n v="1931"/>
    <s v="Keyboard"/>
    <x v="0"/>
    <n v="17809.88"/>
    <s v="2024/04/21"/>
  </r>
  <r>
    <n v="1932"/>
    <s v="Tablet"/>
    <x v="2"/>
    <n v="13147.35"/>
    <s v="2024-05-11"/>
  </r>
  <r>
    <n v="1933"/>
    <s v="Tablet"/>
    <x v="0"/>
    <n v="31089.119999999999"/>
    <s v="09-09-2024"/>
  </r>
  <r>
    <n v="1934"/>
    <s v="Mouse"/>
    <x v="1"/>
    <n v="7808.77"/>
    <s v="04-07-2024"/>
  </r>
  <r>
    <n v="1935"/>
    <s v="Laptop"/>
    <x v="4"/>
    <n v="16488.11"/>
    <s v="2024/12/07"/>
  </r>
  <r>
    <n v="1936"/>
    <s v="Tablet"/>
    <x v="3"/>
    <n v="58693.37"/>
    <s v="2024-05-18"/>
  </r>
  <r>
    <n v="1937"/>
    <s v="Monitor"/>
    <x v="2"/>
    <n v="6833.53"/>
    <s v="03-04-2024"/>
  </r>
  <r>
    <n v="1938"/>
    <s v="Mouse"/>
    <x v="2"/>
    <m/>
    <s v="13-03-2024"/>
  </r>
  <r>
    <n v="1939"/>
    <s v="Laptop"/>
    <x v="1"/>
    <n v="10376.56"/>
    <s v="28-03-2024"/>
  </r>
  <r>
    <n v="1940"/>
    <s v="Tablet"/>
    <x v="3"/>
    <n v="48906.1"/>
    <s v="12-08-2024"/>
  </r>
  <r>
    <n v="1941"/>
    <s v="Mouse"/>
    <x v="1"/>
    <n v="42942.77"/>
    <s v="2024/10/29"/>
  </r>
  <r>
    <n v="1942"/>
    <s v="Laptop"/>
    <x v="0"/>
    <m/>
    <s v="2024-09-24"/>
  </r>
  <r>
    <n v="1943"/>
    <s v="Tablet"/>
    <x v="0"/>
    <n v="19823.59"/>
    <s v="2024-10-12"/>
  </r>
  <r>
    <n v="1944"/>
    <s v="Keyboard"/>
    <x v="0"/>
    <n v="39967.71"/>
    <s v="2024/07/17"/>
  </r>
  <r>
    <n v="1945"/>
    <s v="Mouse"/>
    <x v="2"/>
    <n v="18258.39"/>
    <s v="2024-06-05"/>
  </r>
  <r>
    <n v="1946"/>
    <m/>
    <x v="0"/>
    <n v="56154.5"/>
    <s v="15-02-2024"/>
  </r>
  <r>
    <n v="1947"/>
    <m/>
    <x v="0"/>
    <n v="51422.52"/>
    <s v="2024/11/12"/>
  </r>
  <r>
    <n v="1948"/>
    <s v="Laptop"/>
    <x v="0"/>
    <n v="40355.17"/>
    <s v="2024-03-07"/>
  </r>
  <r>
    <n v="1949"/>
    <s v="Monitor"/>
    <x v="0"/>
    <n v="41711.519999999997"/>
    <s v="2024-12-14"/>
  </r>
  <r>
    <n v="1950"/>
    <s v="Monitor"/>
    <x v="1"/>
    <m/>
    <s v="2024/02/10"/>
  </r>
  <r>
    <n v="1951"/>
    <s v="Monitor"/>
    <x v="3"/>
    <n v="5633.64"/>
    <s v="02-11-2024"/>
  </r>
  <r>
    <n v="1952"/>
    <s v="Tablet"/>
    <x v="2"/>
    <n v="24706.99"/>
    <s v="2024/07/25"/>
  </r>
  <r>
    <n v="1953"/>
    <s v="Mouse"/>
    <x v="0"/>
    <n v="17773.009999999998"/>
    <s v="27-05-2024"/>
  </r>
  <r>
    <n v="1954"/>
    <s v="Laptop"/>
    <x v="3"/>
    <n v="51914.879999999997"/>
    <s v="25-01-2024"/>
  </r>
  <r>
    <n v="1955"/>
    <s v="Mouse"/>
    <x v="1"/>
    <n v="44041.760000000002"/>
    <s v="25-06-2024"/>
  </r>
  <r>
    <n v="1956"/>
    <s v="Laptop"/>
    <x v="0"/>
    <n v="17094.84"/>
    <s v="2024/04/03"/>
  </r>
  <r>
    <n v="1957"/>
    <s v="Laptop"/>
    <x v="3"/>
    <n v="56655.3"/>
    <s v="2024/12/11"/>
  </r>
  <r>
    <n v="1958"/>
    <s v="Laptop"/>
    <x v="0"/>
    <n v="23897.83"/>
    <s v="09-10-2024"/>
  </r>
  <r>
    <n v="1087"/>
    <m/>
    <x v="3"/>
    <n v="48530.89"/>
    <s v="2024-11-19"/>
  </r>
  <r>
    <n v="1960"/>
    <s v="Laptop"/>
    <x v="3"/>
    <n v="26533.26"/>
    <s v="12-07-2024"/>
  </r>
  <r>
    <n v="1961"/>
    <s v="Monitor"/>
    <x v="2"/>
    <n v="6365.19"/>
    <s v="21-02-2024"/>
  </r>
  <r>
    <n v="1962"/>
    <s v="Laptop"/>
    <x v="3"/>
    <n v="39599.57"/>
    <s v="18-08-2024"/>
  </r>
  <r>
    <n v="1963"/>
    <s v="Keyboard"/>
    <x v="2"/>
    <n v="4952.47"/>
    <s v="27-02-2024"/>
  </r>
  <r>
    <n v="1964"/>
    <s v="Tablet"/>
    <x v="2"/>
    <n v="41615.68"/>
    <s v="2024-07-31"/>
  </r>
  <r>
    <n v="1965"/>
    <s v="Keyboard"/>
    <x v="1"/>
    <n v="54540.33"/>
    <s v="2024-11-12"/>
  </r>
  <r>
    <n v="1966"/>
    <s v="Tablet"/>
    <x v="1"/>
    <n v="29243.4"/>
    <s v="2024-12-28"/>
  </r>
  <r>
    <n v="1967"/>
    <s v="Tablet"/>
    <x v="0"/>
    <m/>
    <s v="2024-08-22"/>
  </r>
  <r>
    <n v="1968"/>
    <s v="Laptop"/>
    <x v="3"/>
    <n v="46705.7"/>
    <s v="2024/06/28"/>
  </r>
  <r>
    <n v="1969"/>
    <s v="Keyboard"/>
    <x v="3"/>
    <n v="5551.52"/>
    <s v="14-10-2024"/>
  </r>
  <r>
    <n v="1970"/>
    <s v="Mouse"/>
    <x v="0"/>
    <n v="31581.11"/>
    <s v="27-09-2024"/>
  </r>
  <r>
    <n v="1971"/>
    <s v="Monitor"/>
    <x v="1"/>
    <n v="26871.97"/>
    <s v="02-05-2024"/>
  </r>
  <r>
    <n v="1972"/>
    <s v="Monitor"/>
    <x v="3"/>
    <n v="21429.7"/>
    <s v="28-05-2024"/>
  </r>
  <r>
    <n v="1973"/>
    <s v="Mouse"/>
    <x v="3"/>
    <n v="30585.05"/>
    <s v="29-09-2024"/>
  </r>
  <r>
    <n v="1974"/>
    <s v="Laptop"/>
    <x v="0"/>
    <n v="11371.25"/>
    <s v="2024-03-29"/>
  </r>
  <r>
    <n v="1975"/>
    <s v="Keyboard"/>
    <x v="3"/>
    <n v="48951.24"/>
    <s v="2024/07/14"/>
  </r>
  <r>
    <n v="1976"/>
    <s v="Monitor"/>
    <x v="3"/>
    <n v="8995.5"/>
    <s v="2024/05/17"/>
  </r>
  <r>
    <n v="1977"/>
    <s v="Monitor"/>
    <x v="3"/>
    <n v="45858.39"/>
    <s v="28-06-2024"/>
  </r>
  <r>
    <n v="1978"/>
    <s v="Tablet"/>
    <x v="1"/>
    <n v="37087.68"/>
    <s v="2024/07/21"/>
  </r>
  <r>
    <n v="1979"/>
    <m/>
    <x v="1"/>
    <n v="26882.400000000001"/>
    <s v="30-12-2024"/>
  </r>
  <r>
    <n v="1980"/>
    <s v="Keyboard"/>
    <x v="2"/>
    <n v="34133.480000000003"/>
    <s v="14-12-2024"/>
  </r>
  <r>
    <n v="1981"/>
    <s v="Monitor"/>
    <x v="1"/>
    <n v="10710.11"/>
    <s v="2024-08-04"/>
  </r>
  <r>
    <n v="1982"/>
    <s v="Laptop"/>
    <x v="0"/>
    <n v="3776.61"/>
    <s v="31-03-2024"/>
  </r>
  <r>
    <n v="1983"/>
    <s v="Tablet"/>
    <x v="1"/>
    <n v="55835.05"/>
    <s v="14-03-2024"/>
  </r>
  <r>
    <n v="1984"/>
    <s v="Keyboard"/>
    <x v="3"/>
    <n v="20220.990000000002"/>
    <s v="27-04-2024"/>
  </r>
  <r>
    <n v="1985"/>
    <s v="Mouse"/>
    <x v="4"/>
    <n v="27292.69"/>
    <s v="2024/11/20"/>
  </r>
  <r>
    <n v="1986"/>
    <s v="Mouse"/>
    <x v="4"/>
    <n v="39932.32"/>
    <s v="2024-02-29"/>
  </r>
  <r>
    <n v="1987"/>
    <s v="Monitor"/>
    <x v="0"/>
    <n v="32122.26"/>
    <s v="23-10-2024"/>
  </r>
  <r>
    <n v="1988"/>
    <s v="Tablet"/>
    <x v="3"/>
    <n v="5601.64"/>
    <s v="2024/03/29"/>
  </r>
  <r>
    <n v="1989"/>
    <s v="Mouse"/>
    <x v="2"/>
    <n v="21594.09"/>
    <s v="2024-01-02"/>
  </r>
  <r>
    <n v="1990"/>
    <s v="Laptop"/>
    <x v="3"/>
    <n v="16144.15"/>
    <s v="2024/02/12"/>
  </r>
  <r>
    <n v="1991"/>
    <m/>
    <x v="0"/>
    <n v="18893.580000000002"/>
    <s v="2024/09/03"/>
  </r>
  <r>
    <n v="1992"/>
    <s v="Tablet"/>
    <x v="0"/>
    <n v="19923.25"/>
    <s v="2024/07/19"/>
  </r>
  <r>
    <n v="1993"/>
    <s v="Monitor"/>
    <x v="3"/>
    <n v="12433.56"/>
    <s v="14-03-2024"/>
  </r>
  <r>
    <n v="1994"/>
    <s v="Tablet"/>
    <x v="3"/>
    <n v="4318.55"/>
    <s v="12-11-2024"/>
  </r>
  <r>
    <n v="1995"/>
    <s v="Tablet"/>
    <x v="3"/>
    <n v="56698.44"/>
    <s v="18-10-2024"/>
  </r>
  <r>
    <n v="1996"/>
    <s v="Keyboard"/>
    <x v="2"/>
    <n v="40856.410000000003"/>
    <s v="2024-04-24"/>
  </r>
  <r>
    <n v="1111"/>
    <s v="Laptop"/>
    <x v="0"/>
    <n v="41048.51"/>
    <s v="21-03-2024"/>
  </r>
  <r>
    <n v="1998"/>
    <s v="Keyboard"/>
    <x v="2"/>
    <n v="51126.41"/>
    <s v="16-06-2024"/>
  </r>
  <r>
    <n v="1999"/>
    <s v="Tablet"/>
    <x v="0"/>
    <n v="38362.870000000003"/>
    <s v="05-05-2024"/>
  </r>
  <r>
    <n v="2000"/>
    <s v="Mouse"/>
    <x v="3"/>
    <n v="6264.11"/>
    <s v="2024/02/23"/>
  </r>
  <r>
    <n v="2001"/>
    <s v="Tablet"/>
    <x v="2"/>
    <n v="6589.6"/>
    <s v="2024/03/20"/>
  </r>
  <r>
    <n v="2002"/>
    <s v="Mouse"/>
    <x v="3"/>
    <n v="35767.86"/>
    <s v="2024/07/24"/>
  </r>
  <r>
    <n v="2003"/>
    <s v="Tablet"/>
    <x v="1"/>
    <n v="15744.2"/>
    <s v="19-02-2024"/>
  </r>
  <r>
    <n v="2004"/>
    <s v="Laptop"/>
    <x v="2"/>
    <n v="30245.759999999998"/>
    <s v="2024/08/03"/>
  </r>
  <r>
    <n v="2005"/>
    <s v="Mouse"/>
    <x v="2"/>
    <n v="49682.96"/>
    <s v="2024-01-21"/>
  </r>
  <r>
    <n v="2006"/>
    <s v="Keyboard"/>
    <x v="0"/>
    <n v="27187.5"/>
    <s v="08-03-2024"/>
  </r>
  <r>
    <n v="2007"/>
    <s v="Mouse"/>
    <x v="2"/>
    <n v="40160.33"/>
    <s v="02-07-2024"/>
  </r>
  <r>
    <n v="2008"/>
    <s v="Monitor"/>
    <x v="2"/>
    <n v="31706.91"/>
    <s v="2024/10/11"/>
  </r>
  <r>
    <n v="2009"/>
    <s v="Tablet"/>
    <x v="1"/>
    <n v="45463"/>
    <s v="24-06-2024"/>
  </r>
  <r>
    <n v="2010"/>
    <s v="Laptop"/>
    <x v="2"/>
    <n v="26791.74"/>
    <s v="14-08-2024"/>
  </r>
  <r>
    <n v="2011"/>
    <s v="Mouse"/>
    <x v="1"/>
    <n v="19908.73"/>
    <s v="22-06-2024"/>
  </r>
  <r>
    <n v="2012"/>
    <s v="Mouse"/>
    <x v="3"/>
    <n v="50360.59"/>
    <s v="2024-02-24"/>
  </r>
  <r>
    <n v="2013"/>
    <s v="Keyboard"/>
    <x v="3"/>
    <m/>
    <s v="21-04-2024"/>
  </r>
  <r>
    <n v="2014"/>
    <m/>
    <x v="1"/>
    <n v="21235.02"/>
    <s v="27-03-2024"/>
  </r>
  <r>
    <n v="2015"/>
    <s v="Tablet"/>
    <x v="3"/>
    <n v="56066.44"/>
    <s v="09-07-2024"/>
  </r>
  <r>
    <n v="2016"/>
    <s v="Keyboard"/>
    <x v="0"/>
    <n v="51168.74"/>
    <s v="04-05-2024"/>
  </r>
  <r>
    <n v="2017"/>
    <s v="Keyboard"/>
    <x v="0"/>
    <n v="56836.34"/>
    <s v="2024/09/16"/>
  </r>
  <r>
    <n v="2018"/>
    <s v="Tablet"/>
    <x v="2"/>
    <n v="30137.1"/>
    <s v="2024/09/04"/>
  </r>
  <r>
    <n v="2019"/>
    <s v="Keyboard"/>
    <x v="2"/>
    <n v="47431.57"/>
    <s v="2024-05-10"/>
  </r>
  <r>
    <n v="2020"/>
    <s v="Keyboard"/>
    <x v="0"/>
    <n v="43680.29"/>
    <s v="2024-08-29"/>
  </r>
  <r>
    <n v="2021"/>
    <s v="Tablet"/>
    <x v="0"/>
    <n v="30511.68"/>
    <s v="25-03-2024"/>
  </r>
  <r>
    <n v="2022"/>
    <s v="Tablet"/>
    <x v="3"/>
    <n v="35864.050000000003"/>
    <s v="2024/08/20"/>
  </r>
  <r>
    <n v="2023"/>
    <s v="Tablet"/>
    <x v="1"/>
    <n v="42532.26"/>
    <s v="02-11-2024"/>
  </r>
  <r>
    <n v="2024"/>
    <s v="Laptop"/>
    <x v="0"/>
    <n v="33011.949999999997"/>
    <s v="2024-01-04"/>
  </r>
  <r>
    <n v="2025"/>
    <s v="Mouse"/>
    <x v="1"/>
    <n v="30518"/>
    <s v="2024-09-24"/>
  </r>
  <r>
    <n v="2026"/>
    <s v="Laptop"/>
    <x v="2"/>
    <n v="37716.68"/>
    <s v="02-02-2024"/>
  </r>
  <r>
    <n v="2027"/>
    <s v="Laptop"/>
    <x v="1"/>
    <n v="42624.3"/>
    <s v="01-10-2024"/>
  </r>
  <r>
    <n v="2028"/>
    <s v="Laptop"/>
    <x v="0"/>
    <n v="44110.06"/>
    <s v="02-05-2024"/>
  </r>
  <r>
    <n v="2029"/>
    <m/>
    <x v="1"/>
    <n v="53329.58"/>
    <s v="2024/05/15"/>
  </r>
  <r>
    <n v="2030"/>
    <s v="Keyboard"/>
    <x v="1"/>
    <n v="35233.480000000003"/>
    <s v="2024-02-02"/>
  </r>
  <r>
    <n v="2031"/>
    <s v="Monitor"/>
    <x v="2"/>
    <n v="36548.17"/>
    <s v="2024-11-14"/>
  </r>
  <r>
    <n v="2032"/>
    <m/>
    <x v="0"/>
    <n v="55650.52"/>
    <s v="2024-12-12"/>
  </r>
  <r>
    <n v="2033"/>
    <s v="Mouse"/>
    <x v="1"/>
    <n v="39385.78"/>
    <s v="2024-07-28"/>
  </r>
  <r>
    <n v="2034"/>
    <s v="Monitor"/>
    <x v="0"/>
    <n v="40373.72"/>
    <s v="23-01-2024"/>
  </r>
  <r>
    <n v="2035"/>
    <s v="Mouse"/>
    <x v="1"/>
    <n v="3729.45"/>
    <s v="2024/07/01"/>
  </r>
  <r>
    <n v="2036"/>
    <s v="Mouse"/>
    <x v="0"/>
    <n v="19855.78"/>
    <s v="14-09-2024"/>
  </r>
  <r>
    <n v="2037"/>
    <s v="Tablet"/>
    <x v="1"/>
    <n v="12201.31"/>
    <s v="2024-04-04"/>
  </r>
  <r>
    <n v="2038"/>
    <s v="Tablet"/>
    <x v="0"/>
    <n v="22093.29"/>
    <s v="2024/03/29"/>
  </r>
  <r>
    <n v="2039"/>
    <s v="Laptop"/>
    <x v="1"/>
    <n v="11302.04"/>
    <s v="16-02-2024"/>
  </r>
  <r>
    <n v="2040"/>
    <s v="Laptop"/>
    <x v="1"/>
    <n v="5340.24"/>
    <s v="2024/05/10"/>
  </r>
  <r>
    <n v="2041"/>
    <s v="Tablet"/>
    <x v="3"/>
    <n v="17064.849999999999"/>
    <s v="2024-11-11"/>
  </r>
  <r>
    <n v="2042"/>
    <s v="Monitor"/>
    <x v="2"/>
    <n v="56223.66"/>
    <s v="2024-08-22"/>
  </r>
  <r>
    <n v="2043"/>
    <s v="Tablet"/>
    <x v="3"/>
    <n v="39038.480000000003"/>
    <s v="2024-09-26"/>
  </r>
  <r>
    <n v="2044"/>
    <m/>
    <x v="3"/>
    <m/>
    <s v="2024/01/09"/>
  </r>
  <r>
    <n v="2045"/>
    <s v="Mouse"/>
    <x v="0"/>
    <n v="57293.77"/>
    <s v="27-01-2024"/>
  </r>
  <r>
    <n v="2046"/>
    <s v="Mouse"/>
    <x v="3"/>
    <n v="7468.54"/>
    <s v="2024/02/09"/>
  </r>
  <r>
    <n v="2047"/>
    <s v="Laptop"/>
    <x v="0"/>
    <n v="11599.07"/>
    <s v="2024/11/26"/>
  </r>
  <r>
    <n v="2048"/>
    <s v="Laptop"/>
    <x v="1"/>
    <n v="13310.46"/>
    <s v="28-01-2024"/>
  </r>
  <r>
    <n v="2049"/>
    <s v="Monitor"/>
    <x v="3"/>
    <n v="23265.87"/>
    <s v="2024/10/07"/>
  </r>
  <r>
    <n v="1208"/>
    <s v="Keyboard"/>
    <x v="3"/>
    <n v="49105.919999999998"/>
    <s v="11-09-2024"/>
  </r>
  <r>
    <n v="2051"/>
    <s v="Keyboard"/>
    <x v="2"/>
    <n v="12590.04"/>
    <s v="2024/01/15"/>
  </r>
  <r>
    <n v="2052"/>
    <s v="Monitor"/>
    <x v="0"/>
    <n v="32142.21"/>
    <s v="2024-02-24"/>
  </r>
  <r>
    <n v="2053"/>
    <s v="Mouse"/>
    <x v="0"/>
    <n v="55500.84"/>
    <s v="2024/06/11"/>
  </r>
  <r>
    <n v="2054"/>
    <s v="Keyboard"/>
    <x v="2"/>
    <n v="27874.6"/>
    <s v="2024/11/23"/>
  </r>
  <r>
    <n v="2055"/>
    <s v="Laptop"/>
    <x v="3"/>
    <n v="51293.39"/>
    <s v="09-09-2024"/>
  </r>
  <r>
    <n v="2056"/>
    <s v="Mouse"/>
    <x v="0"/>
    <n v="13001.37"/>
    <s v="10-10-2024"/>
  </r>
  <r>
    <n v="2057"/>
    <s v="Mouse"/>
    <x v="4"/>
    <n v="59194.65"/>
    <s v="28-11-2024"/>
  </r>
  <r>
    <n v="2058"/>
    <s v="Mouse"/>
    <x v="2"/>
    <n v="15114.17"/>
    <s v="2024/08/18"/>
  </r>
  <r>
    <n v="2059"/>
    <s v="Laptop"/>
    <x v="2"/>
    <n v="15956.13"/>
    <s v="18-12-2024"/>
  </r>
  <r>
    <n v="2060"/>
    <s v="Laptop"/>
    <x v="2"/>
    <n v="33847.21"/>
    <s v="15-12-2024"/>
  </r>
  <r>
    <n v="2061"/>
    <s v="Tablet"/>
    <x v="2"/>
    <n v="49003.33"/>
    <s v="2024-06-14"/>
  </r>
  <r>
    <n v="2062"/>
    <s v="Mouse"/>
    <x v="0"/>
    <n v="25257.79"/>
    <s v="17-10-2024"/>
  </r>
  <r>
    <n v="2063"/>
    <s v="Keyboard"/>
    <x v="1"/>
    <n v="30146.69"/>
    <s v="2024/10/27"/>
  </r>
  <r>
    <n v="2064"/>
    <s v="Tablet"/>
    <x v="0"/>
    <n v="30243.58"/>
    <s v="12-07-2024"/>
  </r>
  <r>
    <n v="2065"/>
    <s v="Keyboard"/>
    <x v="0"/>
    <n v="1856.39"/>
    <s v="02-07-2024"/>
  </r>
  <r>
    <n v="2066"/>
    <s v="Mouse"/>
    <x v="0"/>
    <n v="1498.64"/>
    <s v="2024-09-20"/>
  </r>
  <r>
    <n v="2067"/>
    <s v="Laptop"/>
    <x v="1"/>
    <m/>
    <s v="04-01-2024"/>
  </r>
  <r>
    <n v="2068"/>
    <s v="Keyboard"/>
    <x v="1"/>
    <n v="30155.3"/>
    <s v="25-07-2024"/>
  </r>
  <r>
    <n v="2069"/>
    <s v="Monitor"/>
    <x v="0"/>
    <n v="27050.51"/>
    <s v="2024-02-04"/>
  </r>
  <r>
    <n v="2070"/>
    <s v="Laptop"/>
    <x v="1"/>
    <n v="14047.71"/>
    <s v="24-02-2024"/>
  </r>
  <r>
    <n v="2071"/>
    <s v="Mouse"/>
    <x v="2"/>
    <n v="6166.96"/>
    <s v="2024-08-22"/>
  </r>
  <r>
    <n v="2072"/>
    <s v="Monitor"/>
    <x v="1"/>
    <n v="27359.42"/>
    <s v="22-08-2024"/>
  </r>
  <r>
    <n v="2073"/>
    <s v="Keyboard"/>
    <x v="4"/>
    <n v="19532.48"/>
    <s v="2024-03-07"/>
  </r>
  <r>
    <n v="2074"/>
    <s v="Monitor"/>
    <x v="1"/>
    <n v="36206.660000000003"/>
    <s v="2024/03/19"/>
  </r>
  <r>
    <n v="2075"/>
    <s v="Mouse"/>
    <x v="2"/>
    <n v="29046.18"/>
    <s v="2024-05-30"/>
  </r>
  <r>
    <n v="2076"/>
    <s v="Mouse"/>
    <x v="1"/>
    <n v="59521.68"/>
    <s v="06-11-2024"/>
  </r>
  <r>
    <n v="2077"/>
    <s v="Laptop"/>
    <x v="0"/>
    <n v="49760.77"/>
    <s v="2024-07-26"/>
  </r>
  <r>
    <n v="2078"/>
    <m/>
    <x v="1"/>
    <n v="8609.76"/>
    <s v="19-11-2024"/>
  </r>
  <r>
    <n v="2079"/>
    <s v="Keyboard"/>
    <x v="1"/>
    <n v="14806.31"/>
    <s v="09-08-2024"/>
  </r>
  <r>
    <n v="2080"/>
    <s v="Mouse"/>
    <x v="0"/>
    <n v="45690.67"/>
    <s v="2024/12/27"/>
  </r>
  <r>
    <n v="2081"/>
    <s v="Monitor"/>
    <x v="0"/>
    <n v="19274.02"/>
    <s v="2024-11-15"/>
  </r>
  <r>
    <n v="2082"/>
    <s v="Tablet"/>
    <x v="0"/>
    <n v="14477.13"/>
    <s v="22-07-2024"/>
  </r>
  <r>
    <n v="2083"/>
    <s v="Mouse"/>
    <x v="2"/>
    <n v="42613.09"/>
    <s v="2024-06-01"/>
  </r>
  <r>
    <n v="2084"/>
    <s v="Mouse"/>
    <x v="1"/>
    <n v="45635.78"/>
    <s v="02-01-2024"/>
  </r>
  <r>
    <n v="2085"/>
    <s v="Mouse"/>
    <x v="0"/>
    <n v="40947.35"/>
    <s v="2024-07-18"/>
  </r>
  <r>
    <n v="2086"/>
    <s v="Laptop"/>
    <x v="2"/>
    <n v="48279.77"/>
    <s v="2024-01-29"/>
  </r>
  <r>
    <n v="2087"/>
    <m/>
    <x v="1"/>
    <n v="4509.33"/>
    <s v="29-12-2024"/>
  </r>
  <r>
    <n v="2088"/>
    <s v="Tablet"/>
    <x v="0"/>
    <n v="51451.46"/>
    <s v="10-01-2024"/>
  </r>
  <r>
    <n v="2089"/>
    <s v="Mouse"/>
    <x v="2"/>
    <n v="44903.47"/>
    <s v="16-08-2024"/>
  </r>
  <r>
    <n v="2090"/>
    <s v="Keyboard"/>
    <x v="2"/>
    <n v="57655.72"/>
    <s v="2024-01-12"/>
  </r>
  <r>
    <n v="2091"/>
    <s v="Tablet"/>
    <x v="0"/>
    <n v="51744.34"/>
    <s v="2024/11/19"/>
  </r>
  <r>
    <n v="2092"/>
    <s v="Mouse"/>
    <x v="1"/>
    <m/>
    <s v="19-09-2024"/>
  </r>
  <r>
    <n v="2093"/>
    <s v="Mouse"/>
    <x v="3"/>
    <n v="41466.699999999997"/>
    <s v="2024/03/27"/>
  </r>
  <r>
    <n v="2094"/>
    <s v="Monitor"/>
    <x v="3"/>
    <n v="57135.12"/>
    <s v="2024-01-17"/>
  </r>
  <r>
    <n v="2095"/>
    <s v="Laptop"/>
    <x v="1"/>
    <n v="51172.24"/>
    <s v="2024-12-01"/>
  </r>
  <r>
    <n v="2096"/>
    <s v="Mouse"/>
    <x v="3"/>
    <n v="54413.99"/>
    <s v="2024-11-03"/>
  </r>
  <r>
    <n v="2097"/>
    <s v="Laptop"/>
    <x v="3"/>
    <n v="23783.200000000001"/>
    <s v="2024-08-22"/>
  </r>
  <r>
    <n v="2098"/>
    <s v="Mouse"/>
    <x v="3"/>
    <n v="30477.49"/>
    <s v="16-01-2024"/>
  </r>
  <r>
    <n v="2099"/>
    <s v="Tablet"/>
    <x v="3"/>
    <n v="49781.62"/>
    <s v="05-11-2024"/>
  </r>
  <r>
    <n v="2100"/>
    <s v="Mouse"/>
    <x v="0"/>
    <n v="1014.33"/>
    <s v="2024-05-02"/>
  </r>
  <r>
    <n v="2101"/>
    <s v="Laptop"/>
    <x v="0"/>
    <n v="23042.73"/>
    <s v="2024/12/07"/>
  </r>
  <r>
    <n v="2102"/>
    <s v="Keyboard"/>
    <x v="3"/>
    <n v="8095.99"/>
    <s v="21-08-2024"/>
  </r>
  <r>
    <n v="2103"/>
    <s v="Tablet"/>
    <x v="0"/>
    <n v="47094.16"/>
    <s v="2024/03/29"/>
  </r>
  <r>
    <n v="2104"/>
    <s v="Mouse"/>
    <x v="0"/>
    <n v="42686.44"/>
    <s v="08-04-2024"/>
  </r>
  <r>
    <n v="2105"/>
    <s v="Keyboard"/>
    <x v="0"/>
    <n v="25817.18"/>
    <s v="23-10-2024"/>
  </r>
  <r>
    <n v="1810"/>
    <s v="Monitor"/>
    <x v="2"/>
    <n v="37541.550000000003"/>
    <s v="28-01-2024"/>
  </r>
  <r>
    <n v="2107"/>
    <s v="Laptop"/>
    <x v="2"/>
    <n v="44100.36"/>
    <s v="2024/12/06"/>
  </r>
  <r>
    <n v="2108"/>
    <s v="Mouse"/>
    <x v="4"/>
    <n v="21086.02"/>
    <s v="2024/09/24"/>
  </r>
  <r>
    <n v="2109"/>
    <s v="Monitor"/>
    <x v="0"/>
    <n v="52530.1"/>
    <s v="29-09-2024"/>
  </r>
  <r>
    <n v="2110"/>
    <s v="Monitor"/>
    <x v="3"/>
    <n v="41651"/>
    <s v="2024/03/20"/>
  </r>
  <r>
    <n v="2111"/>
    <s v="Keyboard"/>
    <x v="3"/>
    <n v="40180.370000000003"/>
    <s v="2024/01/01"/>
  </r>
  <r>
    <n v="2112"/>
    <s v="Mouse"/>
    <x v="3"/>
    <n v="1934.45"/>
    <s v="08-09-2024"/>
  </r>
  <r>
    <n v="2113"/>
    <s v="Laptop"/>
    <x v="2"/>
    <n v="55795.03"/>
    <s v="2024/02/03"/>
  </r>
  <r>
    <n v="2114"/>
    <s v="Monitor"/>
    <x v="0"/>
    <n v="8422.34"/>
    <s v="26-03-2024"/>
  </r>
  <r>
    <n v="2115"/>
    <s v="Monitor"/>
    <x v="2"/>
    <n v="27123.13"/>
    <s v="2024-11-04"/>
  </r>
  <r>
    <n v="2116"/>
    <s v="Tablet"/>
    <x v="1"/>
    <n v="2441.19"/>
    <s v="2024-11-13"/>
  </r>
  <r>
    <n v="2117"/>
    <s v="Monitor"/>
    <x v="0"/>
    <n v="55366.01"/>
    <s v="2024/08/09"/>
  </r>
  <r>
    <n v="2118"/>
    <s v="Laptop"/>
    <x v="0"/>
    <n v="58880.74"/>
    <s v="08-11-2024"/>
  </r>
  <r>
    <n v="2119"/>
    <s v="Laptop"/>
    <x v="3"/>
    <m/>
    <s v="2024/07/29"/>
  </r>
  <r>
    <n v="2120"/>
    <s v="Laptop"/>
    <x v="1"/>
    <n v="21206.04"/>
    <s v="29-11-2024"/>
  </r>
  <r>
    <n v="2121"/>
    <s v="Keyboard"/>
    <x v="0"/>
    <m/>
    <s v="29-09-2024"/>
  </r>
  <r>
    <n v="2122"/>
    <s v="Keyboard"/>
    <x v="1"/>
    <n v="35679.93"/>
    <s v="2024/05/18"/>
  </r>
  <r>
    <n v="2123"/>
    <s v="Mouse"/>
    <x v="0"/>
    <n v="26780.34"/>
    <s v="2024/06/12"/>
  </r>
  <r>
    <n v="2124"/>
    <s v="Laptop"/>
    <x v="3"/>
    <n v="39020.97"/>
    <s v="2024-06-26"/>
  </r>
  <r>
    <n v="2125"/>
    <s v="Keyboard"/>
    <x v="2"/>
    <m/>
    <s v="2024-10-26"/>
  </r>
  <r>
    <n v="2126"/>
    <s v="Laptop"/>
    <x v="1"/>
    <n v="38757.43"/>
    <s v="09-11-2024"/>
  </r>
  <r>
    <n v="2127"/>
    <s v="Mouse"/>
    <x v="2"/>
    <n v="30203.98"/>
    <s v="2024/10/06"/>
  </r>
  <r>
    <n v="2128"/>
    <s v="Mouse"/>
    <x v="2"/>
    <n v="54282.75"/>
    <s v="21-12-2024"/>
  </r>
  <r>
    <n v="2129"/>
    <s v="Tablet"/>
    <x v="0"/>
    <n v="24505.63"/>
    <s v="16-09-2024"/>
  </r>
  <r>
    <n v="2130"/>
    <s v="Laptop"/>
    <x v="3"/>
    <n v="11608.07"/>
    <s v="2024/09/03"/>
  </r>
  <r>
    <n v="2131"/>
    <m/>
    <x v="1"/>
    <n v="6785.41"/>
    <s v="04-11-2024"/>
  </r>
  <r>
    <n v="2132"/>
    <s v="Laptop"/>
    <x v="1"/>
    <n v="17633.84"/>
    <s v="29-06-2024"/>
  </r>
  <r>
    <n v="2133"/>
    <s v="Mouse"/>
    <x v="1"/>
    <m/>
    <s v="2024-07-31"/>
  </r>
  <r>
    <n v="2134"/>
    <s v="Laptop"/>
    <x v="0"/>
    <n v="29087.47"/>
    <s v="12-10-2024"/>
  </r>
  <r>
    <n v="2135"/>
    <s v="Tablet"/>
    <x v="0"/>
    <n v="10475.59"/>
    <s v="30-08-2024"/>
  </r>
  <r>
    <n v="2136"/>
    <s v="Monitor"/>
    <x v="2"/>
    <n v="58556.11"/>
    <s v="2024/07/10"/>
  </r>
  <r>
    <n v="2137"/>
    <s v="Monitor"/>
    <x v="1"/>
    <n v="45029.01"/>
    <s v="2024/09/21"/>
  </r>
  <r>
    <n v="2138"/>
    <s v="Tablet"/>
    <x v="0"/>
    <n v="22652.6"/>
    <s v="2024-06-18"/>
  </r>
  <r>
    <n v="2139"/>
    <s v="Monitor"/>
    <x v="3"/>
    <n v="4921.91"/>
    <s v="07-02-2024"/>
  </r>
  <r>
    <n v="2140"/>
    <s v="Tablet"/>
    <x v="2"/>
    <n v="53375.74"/>
    <s v="2024-01-08"/>
  </r>
  <r>
    <n v="2141"/>
    <s v="Keyboard"/>
    <x v="3"/>
    <n v="1680.03"/>
    <s v="02-05-2024"/>
  </r>
  <r>
    <n v="2142"/>
    <m/>
    <x v="3"/>
    <m/>
    <s v="2024/01/11"/>
  </r>
  <r>
    <n v="2143"/>
    <s v="Laptop"/>
    <x v="0"/>
    <n v="20695.080000000002"/>
    <s v="11-09-2024"/>
  </r>
  <r>
    <n v="2144"/>
    <s v="Monitor"/>
    <x v="1"/>
    <n v="11599.9"/>
    <s v="2024-08-12"/>
  </r>
  <r>
    <n v="2145"/>
    <s v="Mouse"/>
    <x v="2"/>
    <n v="41994.42"/>
    <s v="2024-02-24"/>
  </r>
  <r>
    <n v="2146"/>
    <s v="Laptop"/>
    <x v="0"/>
    <n v="44831.03"/>
    <s v="21-06-2024"/>
  </r>
  <r>
    <n v="2147"/>
    <s v="Tablet"/>
    <x v="0"/>
    <n v="31690.66"/>
    <s v="01-12-2024"/>
  </r>
  <r>
    <n v="2148"/>
    <s v="Laptop"/>
    <x v="0"/>
    <n v="43554.22"/>
    <s v="2024-08-05"/>
  </r>
  <r>
    <n v="2149"/>
    <s v="Mouse"/>
    <x v="1"/>
    <n v="25751.31"/>
    <s v="2024-06-12"/>
  </r>
  <r>
    <n v="2150"/>
    <s v="Tablet"/>
    <x v="2"/>
    <n v="48807.89"/>
    <s v="01-09-2024"/>
  </r>
  <r>
    <n v="2151"/>
    <s v="Laptop"/>
    <x v="0"/>
    <n v="19650.189999999999"/>
    <s v="02-11-2024"/>
  </r>
  <r>
    <n v="2152"/>
    <s v="Laptop"/>
    <x v="1"/>
    <m/>
    <s v="29-02-2024"/>
  </r>
  <r>
    <n v="2153"/>
    <s v="Mouse"/>
    <x v="0"/>
    <n v="19839.7"/>
    <s v="17-02-2024"/>
  </r>
  <r>
    <n v="2154"/>
    <s v="Tablet"/>
    <x v="3"/>
    <n v="47836.75"/>
    <s v="06-02-2024"/>
  </r>
  <r>
    <n v="2155"/>
    <s v="Monitor"/>
    <x v="3"/>
    <n v="38474.26"/>
    <s v="2024/05/22"/>
  </r>
  <r>
    <n v="2156"/>
    <s v="Keyboard"/>
    <x v="3"/>
    <n v="9038.7800000000007"/>
    <s v="2024-11-19"/>
  </r>
  <r>
    <n v="2157"/>
    <s v="Tablet"/>
    <x v="1"/>
    <n v="36095.129999999997"/>
    <s v="2024-10-18"/>
  </r>
  <r>
    <n v="2158"/>
    <s v="Tablet"/>
    <x v="1"/>
    <n v="6371.14"/>
    <s v="18-02-2024"/>
  </r>
  <r>
    <n v="2159"/>
    <s v="Monitor"/>
    <x v="2"/>
    <n v="49864.55"/>
    <s v="2024-11-04"/>
  </r>
  <r>
    <n v="2160"/>
    <s v="Tablet"/>
    <x v="3"/>
    <n v="29781.55"/>
    <s v="12-05-2024"/>
  </r>
  <r>
    <n v="2161"/>
    <s v="Monitor"/>
    <x v="2"/>
    <n v="51802.71"/>
    <s v="2024/05/28"/>
  </r>
  <r>
    <n v="2162"/>
    <s v="Tablet"/>
    <x v="1"/>
    <n v="10359.59"/>
    <s v="10-05-2024"/>
  </r>
  <r>
    <n v="2163"/>
    <s v="Mouse"/>
    <x v="3"/>
    <n v="31271.56"/>
    <s v="23-06-2024"/>
  </r>
  <r>
    <n v="2164"/>
    <s v="Laptop"/>
    <x v="0"/>
    <m/>
    <s v="26-11-2024"/>
  </r>
  <r>
    <n v="2165"/>
    <s v="Tablet"/>
    <x v="0"/>
    <n v="51812.7"/>
    <s v="22-09-2024"/>
  </r>
  <r>
    <n v="2166"/>
    <s v="Keyboard"/>
    <x v="0"/>
    <n v="22808.94"/>
    <s v="2024-03-27"/>
  </r>
  <r>
    <n v="2167"/>
    <s v="Keyboard"/>
    <x v="1"/>
    <n v="6764.73"/>
    <s v="27-09-2024"/>
  </r>
  <r>
    <n v="2168"/>
    <s v="Tablet"/>
    <x v="0"/>
    <n v="50212.58"/>
    <s v="2024/04/05"/>
  </r>
  <r>
    <n v="2169"/>
    <s v="Keyboard"/>
    <x v="1"/>
    <n v="14068.12"/>
    <s v="14-06-2024"/>
  </r>
  <r>
    <n v="2170"/>
    <s v="Keyboard"/>
    <x v="0"/>
    <n v="36651.31"/>
    <s v="07-09-2024"/>
  </r>
  <r>
    <n v="2171"/>
    <s v="Mouse"/>
    <x v="1"/>
    <n v="55705.18"/>
    <s v="01-01-2024"/>
  </r>
  <r>
    <n v="2172"/>
    <s v="Mouse"/>
    <x v="2"/>
    <n v="22916.34"/>
    <s v="2024-09-09"/>
  </r>
  <r>
    <n v="2173"/>
    <s v="Laptop"/>
    <x v="2"/>
    <n v="1483.7"/>
    <s v="30-08-2024"/>
  </r>
  <r>
    <n v="2174"/>
    <s v="Mouse"/>
    <x v="3"/>
    <n v="56883.07"/>
    <s v="22-09-2024"/>
  </r>
  <r>
    <n v="2175"/>
    <s v="Mouse"/>
    <x v="1"/>
    <n v="9755.7000000000007"/>
    <s v="2024/05/26"/>
  </r>
  <r>
    <n v="2187"/>
    <s v="Mouse"/>
    <x v="2"/>
    <n v="20878.39"/>
    <s v="2024-01-28"/>
  </r>
  <r>
    <n v="2177"/>
    <s v="Monitor"/>
    <x v="2"/>
    <m/>
    <s v="2024/12/18"/>
  </r>
  <r>
    <n v="1599"/>
    <s v="Tablet"/>
    <x v="3"/>
    <n v="35778.78"/>
    <s v="2024-11-27"/>
  </r>
  <r>
    <n v="2179"/>
    <s v="Keyboard"/>
    <x v="0"/>
    <n v="30760.84"/>
    <s v="2024-03-31"/>
  </r>
  <r>
    <n v="2180"/>
    <s v="Laptop"/>
    <x v="3"/>
    <n v="50142.97"/>
    <s v="2024-08-14"/>
  </r>
  <r>
    <n v="2181"/>
    <s v="Tablet"/>
    <x v="2"/>
    <n v="19481.79"/>
    <s v="2024-10-13"/>
  </r>
  <r>
    <n v="2182"/>
    <s v="Tablet"/>
    <x v="3"/>
    <n v="39781.81"/>
    <s v="2024/01/13"/>
  </r>
  <r>
    <n v="2183"/>
    <s v="Mouse"/>
    <x v="3"/>
    <n v="29359.54"/>
    <s v="2024/05/09"/>
  </r>
  <r>
    <n v="2184"/>
    <s v="Mouse"/>
    <x v="0"/>
    <n v="26478.78"/>
    <s v="09-05-2024"/>
  </r>
  <r>
    <n v="2185"/>
    <s v="Keyboard"/>
    <x v="1"/>
    <n v="42764.959999999999"/>
    <s v="2024/06/20"/>
  </r>
  <r>
    <n v="2186"/>
    <s v="Mouse"/>
    <x v="3"/>
    <n v="14599.2"/>
    <s v="29-04-2024"/>
  </r>
  <r>
    <n v="2187"/>
    <s v="Mouse"/>
    <x v="0"/>
    <n v="15686.81"/>
    <s v="2024-08-22"/>
  </r>
  <r>
    <n v="2188"/>
    <s v="Tablet"/>
    <x v="3"/>
    <n v="16531.52"/>
    <s v="2024/02/23"/>
  </r>
  <r>
    <n v="2189"/>
    <s v="Monitor"/>
    <x v="0"/>
    <n v="17435.509999999998"/>
    <s v="26-09-2024"/>
  </r>
  <r>
    <n v="2190"/>
    <s v="Laptop"/>
    <x v="0"/>
    <n v="28833.62"/>
    <s v="2024/04/26"/>
  </r>
  <r>
    <n v="2191"/>
    <s v="Laptop"/>
    <x v="1"/>
    <n v="31044.13"/>
    <s v="06-09-2024"/>
  </r>
  <r>
    <n v="2192"/>
    <s v="Mouse"/>
    <x v="1"/>
    <n v="29120.61"/>
    <s v="29-07-2024"/>
  </r>
  <r>
    <n v="2193"/>
    <s v="Mouse"/>
    <x v="0"/>
    <n v="13908.87"/>
    <s v="2024/10/22"/>
  </r>
  <r>
    <n v="2194"/>
    <s v="Mouse"/>
    <x v="1"/>
    <m/>
    <s v="2024-06-20"/>
  </r>
  <r>
    <n v="2195"/>
    <s v="Mouse"/>
    <x v="3"/>
    <n v="5948.55"/>
    <s v="2024-08-01"/>
  </r>
  <r>
    <n v="2196"/>
    <s v="Mouse"/>
    <x v="2"/>
    <n v="32520.58"/>
    <s v="2024/08/03"/>
  </r>
  <r>
    <n v="2197"/>
    <s v="Laptop"/>
    <x v="1"/>
    <n v="56670.35"/>
    <s v="12-04-2024"/>
  </r>
  <r>
    <n v="2198"/>
    <s v="Laptop"/>
    <x v="1"/>
    <n v="34029.660000000003"/>
    <s v="04-05-2024"/>
  </r>
  <r>
    <n v="2199"/>
    <s v="Tablet"/>
    <x v="2"/>
    <n v="3647.98"/>
    <s v="06-02-20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n v="1000"/>
    <x v="0"/>
    <x v="0"/>
    <n v="10205.1"/>
    <s v="02-08-2024"/>
  </r>
  <r>
    <n v="1001"/>
    <x v="1"/>
    <x v="1"/>
    <n v="30435.807390000002"/>
    <s v="14-09-2024"/>
  </r>
  <r>
    <n v="1084"/>
    <x v="1"/>
    <x v="2"/>
    <n v="1416.91"/>
    <s v="10-12-2024"/>
  </r>
  <r>
    <n v="1003"/>
    <x v="1"/>
    <x v="3"/>
    <n v="27908.13"/>
    <s v="23-06-2024"/>
  </r>
  <r>
    <n v="1004"/>
    <x v="2"/>
    <x v="0"/>
    <n v="27579.46"/>
    <s v="30-09-2024"/>
  </r>
  <r>
    <n v="1005"/>
    <x v="3"/>
    <x v="2"/>
    <n v="26969"/>
    <s v="20-09-2024"/>
  </r>
  <r>
    <n v="1006"/>
    <x v="2"/>
    <x v="1"/>
    <n v="31684.01"/>
    <s v="15-04-2024"/>
  </r>
  <r>
    <n v="1007"/>
    <x v="3"/>
    <x v="1"/>
    <n v="43909.05"/>
    <s v="27-09-2024"/>
  </r>
  <r>
    <n v="1008"/>
    <x v="4"/>
    <x v="1"/>
    <n v="17009.59"/>
    <s v="22-02-2024"/>
  </r>
  <r>
    <n v="1009"/>
    <x v="2"/>
    <x v="2"/>
    <n v="1922.55"/>
    <s v="09-01-2024"/>
  </r>
  <r>
    <n v="1542"/>
    <x v="5"/>
    <x v="3"/>
    <n v="46504.95"/>
    <s v="17-09-2024"/>
  </r>
  <r>
    <n v="1011"/>
    <x v="1"/>
    <x v="3"/>
    <n v="22878.28"/>
    <s v="02-03-2024"/>
  </r>
  <r>
    <n v="1012"/>
    <x v="1"/>
    <x v="3"/>
    <n v="43081.440000000002"/>
    <s v="13-09-2024"/>
  </r>
  <r>
    <n v="1013"/>
    <x v="4"/>
    <x v="2"/>
    <n v="26920.85"/>
    <s v="27-06-2024"/>
  </r>
  <r>
    <n v="1014"/>
    <x v="1"/>
    <x v="2"/>
    <n v="15708.24"/>
    <s v="24-08-2024"/>
  </r>
  <r>
    <n v="1015"/>
    <x v="1"/>
    <x v="1"/>
    <n v="37836.89"/>
    <s v="02-03-2024"/>
  </r>
  <r>
    <n v="1016"/>
    <x v="2"/>
    <x v="0"/>
    <n v="48638.97"/>
    <s v="13-12-2024"/>
  </r>
  <r>
    <n v="1017"/>
    <x v="5"/>
    <x v="0"/>
    <n v="18982.09"/>
    <s v="16-07-2024"/>
  </r>
  <r>
    <n v="1018"/>
    <x v="1"/>
    <x v="3"/>
    <n v="20068.97"/>
    <s v="05-04-2024"/>
  </r>
  <r>
    <n v="1019"/>
    <x v="1"/>
    <x v="3"/>
    <n v="43023.96"/>
    <s v="10-04-2024"/>
  </r>
  <r>
    <n v="1020"/>
    <x v="0"/>
    <x v="1"/>
    <n v="17440.14"/>
    <s v="12-08-2024"/>
  </r>
  <r>
    <n v="1021"/>
    <x v="1"/>
    <x v="0"/>
    <n v="5770.35"/>
    <s v="02-07-2024"/>
  </r>
  <r>
    <n v="1022"/>
    <x v="0"/>
    <x v="1"/>
    <n v="32610.71"/>
    <s v="27-08-2024"/>
  </r>
  <r>
    <n v="1023"/>
    <x v="3"/>
    <x v="2"/>
    <n v="13994.22"/>
    <s v="11-12-2024"/>
  </r>
  <r>
    <n v="1024"/>
    <x v="3"/>
    <x v="3"/>
    <n v="56267.07"/>
    <s v="08-05-2024"/>
  </r>
  <r>
    <n v="1025"/>
    <x v="3"/>
    <x v="1"/>
    <n v="11322.34"/>
    <s v="21-04-2024"/>
  </r>
  <r>
    <n v="1026"/>
    <x v="5"/>
    <x v="0"/>
    <n v="38352.99"/>
    <s v="09-01-2024"/>
  </r>
  <r>
    <n v="1027"/>
    <x v="5"/>
    <x v="3"/>
    <n v="53378.44"/>
    <s v="25-04-2024"/>
  </r>
  <r>
    <n v="1028"/>
    <x v="2"/>
    <x v="1"/>
    <n v="30435.807390000002"/>
    <s v="08-04-2024"/>
  </r>
  <r>
    <n v="1029"/>
    <x v="0"/>
    <x v="0"/>
    <n v="11379.59"/>
    <s v="08-03-2024"/>
  </r>
  <r>
    <n v="1030"/>
    <x v="5"/>
    <x v="3"/>
    <n v="39799.160000000003"/>
    <s v="02-02-2024"/>
  </r>
  <r>
    <n v="1031"/>
    <x v="0"/>
    <x v="2"/>
    <n v="29717.79"/>
    <s v="20-09-2024"/>
  </r>
  <r>
    <n v="1032"/>
    <x v="0"/>
    <x v="2"/>
    <n v="43624.67"/>
    <s v="26-05-2024"/>
  </r>
  <r>
    <n v="1033"/>
    <x v="5"/>
    <x v="0"/>
    <n v="53126.15"/>
    <s v="20-08-2024"/>
  </r>
  <r>
    <n v="1034"/>
    <x v="3"/>
    <x v="3"/>
    <n v="19036.12"/>
    <s v="09-06-2024"/>
  </r>
  <r>
    <n v="1035"/>
    <x v="5"/>
    <x v="0"/>
    <n v="6733.41"/>
    <s v="14-10-2024"/>
  </r>
  <r>
    <n v="1036"/>
    <x v="5"/>
    <x v="0"/>
    <n v="9060.66"/>
    <s v="02-09-2024"/>
  </r>
  <r>
    <n v="1037"/>
    <x v="3"/>
    <x v="0"/>
    <n v="31169.200000000001"/>
    <s v="08-11-2024"/>
  </r>
  <r>
    <n v="1038"/>
    <x v="0"/>
    <x v="1"/>
    <n v="2629.39"/>
    <s v="19-12-2024"/>
  </r>
  <r>
    <n v="1039"/>
    <x v="4"/>
    <x v="1"/>
    <n v="17905.93"/>
    <s v="09-11-2024"/>
  </r>
  <r>
    <n v="1040"/>
    <x v="3"/>
    <x v="1"/>
    <n v="49844.27"/>
    <s v="29-02-2024"/>
  </r>
  <r>
    <n v="1041"/>
    <x v="1"/>
    <x v="1"/>
    <n v="32897.47"/>
    <s v="06-11-2024"/>
  </r>
  <r>
    <n v="1042"/>
    <x v="2"/>
    <x v="1"/>
    <n v="30435.807390000002"/>
    <s v="29-04-2024"/>
  </r>
  <r>
    <n v="1043"/>
    <x v="0"/>
    <x v="0"/>
    <n v="50322.83"/>
    <s v="08-05-2024"/>
  </r>
  <r>
    <n v="1044"/>
    <x v="1"/>
    <x v="2"/>
    <n v="39951.65"/>
    <s v="28-09-2024"/>
  </r>
  <r>
    <n v="1045"/>
    <x v="5"/>
    <x v="0"/>
    <n v="10360.14"/>
    <s v="26-03-2024"/>
  </r>
  <r>
    <n v="1046"/>
    <x v="4"/>
    <x v="0"/>
    <n v="42515.81"/>
    <s v="22-07-2024"/>
  </r>
  <r>
    <n v="1047"/>
    <x v="1"/>
    <x v="2"/>
    <n v="39336.65"/>
    <s v="06-09-2024"/>
  </r>
  <r>
    <n v="1048"/>
    <x v="5"/>
    <x v="3"/>
    <n v="51532.9"/>
    <s v="20-11-2024"/>
  </r>
  <r>
    <n v="1049"/>
    <x v="2"/>
    <x v="2"/>
    <n v="48256.01"/>
    <s v="26-06-2024"/>
  </r>
  <r>
    <n v="1050"/>
    <x v="3"/>
    <x v="2"/>
    <n v="39437.599999999999"/>
    <s v="12-02-2024"/>
  </r>
  <r>
    <n v="1051"/>
    <x v="2"/>
    <x v="0"/>
    <n v="41297.4"/>
    <s v="02-12-2024"/>
  </r>
  <r>
    <n v="1052"/>
    <x v="0"/>
    <x v="2"/>
    <n v="41880.53"/>
    <s v="23-04-2024"/>
  </r>
  <r>
    <n v="1053"/>
    <x v="2"/>
    <x v="0"/>
    <n v="45286.27"/>
    <s v="10-07-2024"/>
  </r>
  <r>
    <n v="1054"/>
    <x v="0"/>
    <x v="3"/>
    <n v="34150.129999999997"/>
    <s v="24-09-2024"/>
  </r>
  <r>
    <n v="1055"/>
    <x v="2"/>
    <x v="2"/>
    <n v="49760.99"/>
    <s v="07-12-2024"/>
  </r>
  <r>
    <n v="1056"/>
    <x v="5"/>
    <x v="3"/>
    <n v="21939.41"/>
    <s v="10-10-2024"/>
  </r>
  <r>
    <n v="1057"/>
    <x v="5"/>
    <x v="0"/>
    <n v="20391.21"/>
    <s v="22-02-2024"/>
  </r>
  <r>
    <n v="1058"/>
    <x v="2"/>
    <x v="0"/>
    <n v="27050.3"/>
    <s v="02-08-2024"/>
  </r>
  <r>
    <n v="1059"/>
    <x v="1"/>
    <x v="3"/>
    <n v="50470.37"/>
    <s v="22-06-2024"/>
  </r>
  <r>
    <n v="1060"/>
    <x v="1"/>
    <x v="1"/>
    <n v="59211.74"/>
    <s v="30-12-2024"/>
  </r>
  <r>
    <n v="1061"/>
    <x v="1"/>
    <x v="3"/>
    <n v="5926.54"/>
    <s v="29-12-2024"/>
  </r>
  <r>
    <n v="1062"/>
    <x v="5"/>
    <x v="2"/>
    <n v="30435.807390000002"/>
    <s v="07-08-2024"/>
  </r>
  <r>
    <n v="1063"/>
    <x v="1"/>
    <x v="1"/>
    <n v="15012.88"/>
    <s v="09-07-2024"/>
  </r>
  <r>
    <n v="1064"/>
    <x v="1"/>
    <x v="2"/>
    <n v="33804.300000000003"/>
    <s v="29-10-2024"/>
  </r>
  <r>
    <n v="1065"/>
    <x v="2"/>
    <x v="3"/>
    <n v="31862.77"/>
    <s v="20-08-2024"/>
  </r>
  <r>
    <n v="1066"/>
    <x v="3"/>
    <x v="1"/>
    <n v="44488.94"/>
    <s v="12-01-2024"/>
  </r>
  <r>
    <n v="1067"/>
    <x v="0"/>
    <x v="0"/>
    <n v="39164.050000000003"/>
    <s v="15-05-2024"/>
  </r>
  <r>
    <n v="1068"/>
    <x v="3"/>
    <x v="3"/>
    <n v="32629.69"/>
    <s v="30-07-2024"/>
  </r>
  <r>
    <n v="1069"/>
    <x v="2"/>
    <x v="1"/>
    <n v="35288.589999999997"/>
    <s v="10-01-2024"/>
  </r>
  <r>
    <n v="1070"/>
    <x v="4"/>
    <x v="3"/>
    <n v="59249.29"/>
    <s v="25-06-2024"/>
  </r>
  <r>
    <n v="1071"/>
    <x v="0"/>
    <x v="1"/>
    <n v="3172.49"/>
    <s v="06-11-2024"/>
  </r>
  <r>
    <n v="1072"/>
    <x v="1"/>
    <x v="2"/>
    <n v="56741.18"/>
    <s v="23-03-2024"/>
  </r>
  <r>
    <n v="1073"/>
    <x v="1"/>
    <x v="1"/>
    <n v="14489.93"/>
    <s v="14-10-2024"/>
  </r>
  <r>
    <n v="1074"/>
    <x v="4"/>
    <x v="2"/>
    <n v="50050.92"/>
    <s v="01-11-2024"/>
  </r>
  <r>
    <n v="1075"/>
    <x v="5"/>
    <x v="0"/>
    <n v="2698.18"/>
    <s v="25-07-2024"/>
  </r>
  <r>
    <n v="1076"/>
    <x v="0"/>
    <x v="1"/>
    <n v="36877.18"/>
    <s v="03-12-2024"/>
  </r>
  <r>
    <n v="1077"/>
    <x v="0"/>
    <x v="0"/>
    <n v="24396.02"/>
    <s v="03-09-2024"/>
  </r>
  <r>
    <n v="1078"/>
    <x v="0"/>
    <x v="2"/>
    <n v="4907.92"/>
    <s v="09-03-2024"/>
  </r>
  <r>
    <n v="1079"/>
    <x v="5"/>
    <x v="2"/>
    <n v="8603.9"/>
    <s v="01-07-2024"/>
  </r>
  <r>
    <n v="1080"/>
    <x v="1"/>
    <x v="0"/>
    <n v="52584.74"/>
    <s v="03-06-2024"/>
  </r>
  <r>
    <n v="1081"/>
    <x v="4"/>
    <x v="2"/>
    <n v="11443.62"/>
    <s v="21-11-2024"/>
  </r>
  <r>
    <n v="1082"/>
    <x v="3"/>
    <x v="0"/>
    <n v="41733.29"/>
    <s v="13-03-2024"/>
  </r>
  <r>
    <n v="1083"/>
    <x v="2"/>
    <x v="2"/>
    <n v="23259.87"/>
    <s v="02-12-2024"/>
  </r>
  <r>
    <n v="1084"/>
    <x v="0"/>
    <x v="1"/>
    <n v="22857.85"/>
    <s v="01-08-2024"/>
  </r>
  <r>
    <n v="1085"/>
    <x v="0"/>
    <x v="3"/>
    <n v="9716.61"/>
    <s v="07-01-2024"/>
  </r>
  <r>
    <n v="1086"/>
    <x v="4"/>
    <x v="0"/>
    <n v="24432.67"/>
    <s v="10-07-2024"/>
  </r>
  <r>
    <n v="1087"/>
    <x v="4"/>
    <x v="3"/>
    <n v="20322.34"/>
    <s v="26-10-2024"/>
  </r>
  <r>
    <n v="1088"/>
    <x v="2"/>
    <x v="3"/>
    <n v="29295.34"/>
    <s v="15-08-2024"/>
  </r>
  <r>
    <n v="1089"/>
    <x v="2"/>
    <x v="1"/>
    <n v="22421.86"/>
    <s v="08-10-2024"/>
  </r>
  <r>
    <n v="1090"/>
    <x v="5"/>
    <x v="3"/>
    <n v="30435.807390000002"/>
    <s v="03-10-2024"/>
  </r>
  <r>
    <n v="1091"/>
    <x v="3"/>
    <x v="3"/>
    <n v="11229.04"/>
    <s v="06-11-2024"/>
  </r>
  <r>
    <n v="1172"/>
    <x v="1"/>
    <x v="0"/>
    <n v="34983.910000000003"/>
    <s v="15-03-2024"/>
  </r>
  <r>
    <n v="1093"/>
    <x v="3"/>
    <x v="0"/>
    <n v="33849.01"/>
    <s v="26-01-2024"/>
  </r>
  <r>
    <n v="1094"/>
    <x v="2"/>
    <x v="2"/>
    <n v="30949.01"/>
    <s v="22-04-2024"/>
  </r>
  <r>
    <n v="1095"/>
    <x v="5"/>
    <x v="1"/>
    <n v="19917.89"/>
    <s v="15-09-2024"/>
  </r>
  <r>
    <n v="1096"/>
    <x v="0"/>
    <x v="2"/>
    <n v="20018.88"/>
    <s v="09-05-2024"/>
  </r>
  <r>
    <n v="1097"/>
    <x v="4"/>
    <x v="0"/>
    <n v="36760.01"/>
    <s v="03-04-2024"/>
  </r>
  <r>
    <n v="1098"/>
    <x v="3"/>
    <x v="0"/>
    <n v="59464.84"/>
    <s v="16-03-2024"/>
  </r>
  <r>
    <n v="1099"/>
    <x v="4"/>
    <x v="3"/>
    <n v="45279.61"/>
    <s v="11-11-2024"/>
  </r>
  <r>
    <n v="1100"/>
    <x v="3"/>
    <x v="3"/>
    <n v="22171"/>
    <s v="24-08-2024"/>
  </r>
  <r>
    <n v="1101"/>
    <x v="3"/>
    <x v="3"/>
    <n v="32847.08"/>
    <s v="03-03-2024"/>
  </r>
  <r>
    <n v="1102"/>
    <x v="3"/>
    <x v="0"/>
    <n v="37830.04"/>
    <s v="16-07-2024"/>
  </r>
  <r>
    <n v="1103"/>
    <x v="0"/>
    <x v="0"/>
    <n v="32474.2"/>
    <s v="18-08-2024"/>
  </r>
  <r>
    <n v="1104"/>
    <x v="0"/>
    <x v="3"/>
    <n v="13068.13"/>
    <s v="17-11-2024"/>
  </r>
  <r>
    <n v="1105"/>
    <x v="1"/>
    <x v="0"/>
    <n v="8521.83"/>
    <s v="02-07-2024"/>
  </r>
  <r>
    <n v="1106"/>
    <x v="0"/>
    <x v="0"/>
    <n v="30435.807390000002"/>
    <s v="24-04-2024"/>
  </r>
  <r>
    <n v="1107"/>
    <x v="3"/>
    <x v="1"/>
    <n v="35420.120000000003"/>
    <s v="18-07-2024"/>
  </r>
  <r>
    <n v="1108"/>
    <x v="2"/>
    <x v="2"/>
    <n v="16104.92"/>
    <s v="13-04-2024"/>
  </r>
  <r>
    <n v="1109"/>
    <x v="3"/>
    <x v="1"/>
    <n v="9999.7999999999993"/>
    <s v="01-04-2024"/>
  </r>
  <r>
    <n v="1110"/>
    <x v="5"/>
    <x v="2"/>
    <n v="8245.84"/>
    <s v="10-04-2024"/>
  </r>
  <r>
    <n v="1111"/>
    <x v="0"/>
    <x v="0"/>
    <n v="35885.25"/>
    <s v="28-05-2024"/>
  </r>
  <r>
    <n v="1112"/>
    <x v="5"/>
    <x v="1"/>
    <n v="25455.77"/>
    <s v="30-03-2024"/>
  </r>
  <r>
    <n v="1113"/>
    <x v="1"/>
    <x v="2"/>
    <n v="27693.93"/>
    <s v="27-06-2024"/>
  </r>
  <r>
    <n v="1114"/>
    <x v="2"/>
    <x v="0"/>
    <n v="47049.25"/>
    <s v="29-05-2024"/>
  </r>
  <r>
    <n v="1115"/>
    <x v="0"/>
    <x v="1"/>
    <n v="33881.019999999997"/>
    <s v="07-12-2024"/>
  </r>
  <r>
    <n v="1116"/>
    <x v="0"/>
    <x v="3"/>
    <n v="45247.67"/>
    <s v="29-07-2024"/>
  </r>
  <r>
    <n v="1117"/>
    <x v="0"/>
    <x v="2"/>
    <n v="18348.64"/>
    <s v="23-06-2024"/>
  </r>
  <r>
    <n v="1118"/>
    <x v="0"/>
    <x v="3"/>
    <n v="20727.41"/>
    <s v="24-02-2024"/>
  </r>
  <r>
    <n v="1119"/>
    <x v="2"/>
    <x v="2"/>
    <n v="30435.807390000002"/>
    <s v="14-10-2024"/>
  </r>
  <r>
    <n v="1120"/>
    <x v="2"/>
    <x v="3"/>
    <n v="2162.92"/>
    <s v="23-02-2024"/>
  </r>
  <r>
    <n v="1121"/>
    <x v="5"/>
    <x v="0"/>
    <n v="59335"/>
    <s v="14-10-2024"/>
  </r>
  <r>
    <n v="1122"/>
    <x v="3"/>
    <x v="3"/>
    <n v="53883.81"/>
    <s v="07-01-2024"/>
  </r>
  <r>
    <n v="1123"/>
    <x v="0"/>
    <x v="2"/>
    <n v="42532.82"/>
    <s v="29-10-2024"/>
  </r>
  <r>
    <n v="1124"/>
    <x v="0"/>
    <x v="0"/>
    <n v="21366.34"/>
    <s v="12-09-2024"/>
  </r>
  <r>
    <n v="1125"/>
    <x v="2"/>
    <x v="1"/>
    <n v="52239.61"/>
    <s v="29-04-2024"/>
  </r>
  <r>
    <n v="1126"/>
    <x v="0"/>
    <x v="0"/>
    <n v="42231.91"/>
    <s v="07-10-2024"/>
  </r>
  <r>
    <n v="1127"/>
    <x v="2"/>
    <x v="2"/>
    <n v="11129.08"/>
    <s v="02-08-2024"/>
  </r>
  <r>
    <n v="1128"/>
    <x v="1"/>
    <x v="1"/>
    <n v="24909.64"/>
    <s v="16-03-2024"/>
  </r>
  <r>
    <n v="1782"/>
    <x v="5"/>
    <x v="2"/>
    <n v="36247.370000000003"/>
    <s v="24-09-2024"/>
  </r>
  <r>
    <n v="1130"/>
    <x v="5"/>
    <x v="3"/>
    <n v="25900.13"/>
    <s v="09-05-2024"/>
  </r>
  <r>
    <n v="1131"/>
    <x v="2"/>
    <x v="3"/>
    <n v="23968.44"/>
    <s v="22-10-2024"/>
  </r>
  <r>
    <n v="1132"/>
    <x v="2"/>
    <x v="1"/>
    <n v="57291.13"/>
    <s v="09-03-2024"/>
  </r>
  <r>
    <n v="1133"/>
    <x v="3"/>
    <x v="0"/>
    <n v="57358.94"/>
    <s v="19-07-2024"/>
  </r>
  <r>
    <n v="1134"/>
    <x v="1"/>
    <x v="0"/>
    <n v="26654.81"/>
    <s v="08-02-2024"/>
  </r>
  <r>
    <n v="1135"/>
    <x v="4"/>
    <x v="1"/>
    <n v="30435.807390000002"/>
    <s v="12-01-2024"/>
  </r>
  <r>
    <n v="1136"/>
    <x v="2"/>
    <x v="0"/>
    <n v="11922.84"/>
    <s v="13-11-2024"/>
  </r>
  <r>
    <n v="1137"/>
    <x v="3"/>
    <x v="3"/>
    <n v="58854.03"/>
    <s v="29-03-2024"/>
  </r>
  <r>
    <n v="1138"/>
    <x v="1"/>
    <x v="0"/>
    <n v="59961.86"/>
    <s v="08-10-2024"/>
  </r>
  <r>
    <n v="1139"/>
    <x v="3"/>
    <x v="1"/>
    <n v="58292.44"/>
    <s v="02-08-2024"/>
  </r>
  <r>
    <n v="1140"/>
    <x v="1"/>
    <x v="2"/>
    <n v="39359.870000000003"/>
    <s v="31-05-2024"/>
  </r>
  <r>
    <n v="1141"/>
    <x v="2"/>
    <x v="1"/>
    <n v="43761.24"/>
    <s v="29-12-2024"/>
  </r>
  <r>
    <n v="1142"/>
    <x v="1"/>
    <x v="0"/>
    <n v="26182.21"/>
    <s v="17-04-2024"/>
  </r>
  <r>
    <n v="1143"/>
    <x v="5"/>
    <x v="0"/>
    <n v="32207.29"/>
    <s v="05-04-2024"/>
  </r>
  <r>
    <n v="1144"/>
    <x v="5"/>
    <x v="1"/>
    <n v="38022.82"/>
    <s v="23-08-2024"/>
  </r>
  <r>
    <n v="1145"/>
    <x v="1"/>
    <x v="0"/>
    <n v="7517.97"/>
    <s v="21-05-2024"/>
  </r>
  <r>
    <n v="1146"/>
    <x v="3"/>
    <x v="0"/>
    <n v="54710.01"/>
    <s v="13-03-2024"/>
  </r>
  <r>
    <n v="1147"/>
    <x v="3"/>
    <x v="2"/>
    <n v="16279.98"/>
    <s v="16-07-2024"/>
  </r>
  <r>
    <n v="1148"/>
    <x v="0"/>
    <x v="2"/>
    <n v="4834.2"/>
    <s v="12-03-2024"/>
  </r>
  <r>
    <n v="1149"/>
    <x v="1"/>
    <x v="1"/>
    <n v="14008.69"/>
    <s v="28-08-2024"/>
  </r>
  <r>
    <n v="1150"/>
    <x v="3"/>
    <x v="0"/>
    <n v="36239.17"/>
    <s v="28-08-2024"/>
  </r>
  <r>
    <n v="1151"/>
    <x v="5"/>
    <x v="2"/>
    <n v="49134.15"/>
    <s v="25-09-2024"/>
  </r>
  <r>
    <n v="1152"/>
    <x v="1"/>
    <x v="2"/>
    <n v="52770.19"/>
    <s v="18-11-2024"/>
  </r>
  <r>
    <n v="1153"/>
    <x v="4"/>
    <x v="1"/>
    <n v="30435.807390000002"/>
    <s v="09-02-2024"/>
  </r>
  <r>
    <n v="1154"/>
    <x v="2"/>
    <x v="0"/>
    <n v="3878.23"/>
    <s v="06-02-2024"/>
  </r>
  <r>
    <n v="1155"/>
    <x v="1"/>
    <x v="1"/>
    <n v="29354.61"/>
    <s v="14-12-2024"/>
  </r>
  <r>
    <n v="1156"/>
    <x v="3"/>
    <x v="3"/>
    <n v="31754.36"/>
    <s v="01-12-2024"/>
  </r>
  <r>
    <n v="1157"/>
    <x v="2"/>
    <x v="1"/>
    <n v="41128.31"/>
    <s v="09-07-2024"/>
  </r>
  <r>
    <n v="1158"/>
    <x v="3"/>
    <x v="3"/>
    <n v="1303.57"/>
    <s v="08-06-2024"/>
  </r>
  <r>
    <n v="1159"/>
    <x v="5"/>
    <x v="0"/>
    <n v="1376.77"/>
    <s v="11-08-2024"/>
  </r>
  <r>
    <n v="1160"/>
    <x v="2"/>
    <x v="0"/>
    <n v="1535.27"/>
    <s v="30-12-2024"/>
  </r>
  <r>
    <n v="1161"/>
    <x v="3"/>
    <x v="2"/>
    <n v="38324.69"/>
    <s v="09-08-2024"/>
  </r>
  <r>
    <n v="1162"/>
    <x v="5"/>
    <x v="1"/>
    <n v="46488.07"/>
    <s v="11-07-2024"/>
  </r>
  <r>
    <n v="1163"/>
    <x v="5"/>
    <x v="3"/>
    <n v="27311.54"/>
    <s v="07-09-2024"/>
  </r>
  <r>
    <n v="1164"/>
    <x v="4"/>
    <x v="0"/>
    <n v="29829.95"/>
    <s v="27-02-2024"/>
  </r>
  <r>
    <n v="1165"/>
    <x v="0"/>
    <x v="2"/>
    <n v="51398.38"/>
    <s v="27-09-2024"/>
  </r>
  <r>
    <n v="1166"/>
    <x v="1"/>
    <x v="2"/>
    <n v="17122.310000000001"/>
    <s v="02-12-2024"/>
  </r>
  <r>
    <n v="1167"/>
    <x v="1"/>
    <x v="2"/>
    <n v="45845.55"/>
    <s v="13-09-2024"/>
  </r>
  <r>
    <n v="1168"/>
    <x v="0"/>
    <x v="2"/>
    <n v="34202.269999999997"/>
    <s v="26-07-2024"/>
  </r>
  <r>
    <n v="1169"/>
    <x v="1"/>
    <x v="2"/>
    <n v="32290.91"/>
    <s v="17-07-2024"/>
  </r>
  <r>
    <n v="1170"/>
    <x v="1"/>
    <x v="1"/>
    <n v="29409.82"/>
    <s v="24-07-2024"/>
  </r>
  <r>
    <n v="1171"/>
    <x v="0"/>
    <x v="2"/>
    <n v="39439.65"/>
    <s v="26-04-2024"/>
  </r>
  <r>
    <n v="1172"/>
    <x v="1"/>
    <x v="3"/>
    <n v="24337.16"/>
    <s v="04-04-2024"/>
  </r>
  <r>
    <n v="1173"/>
    <x v="3"/>
    <x v="2"/>
    <n v="45200.54"/>
    <s v="10-02-2024"/>
  </r>
  <r>
    <n v="1174"/>
    <x v="0"/>
    <x v="3"/>
    <n v="42445.43"/>
    <s v="20-07-2024"/>
  </r>
  <r>
    <n v="1175"/>
    <x v="0"/>
    <x v="3"/>
    <n v="49646.33"/>
    <s v="02-06-2024"/>
  </r>
  <r>
    <n v="1176"/>
    <x v="1"/>
    <x v="2"/>
    <n v="10881.47"/>
    <s v="31-10-2024"/>
  </r>
  <r>
    <n v="1177"/>
    <x v="5"/>
    <x v="2"/>
    <n v="18631.32"/>
    <s v="22-07-2024"/>
  </r>
  <r>
    <n v="1178"/>
    <x v="5"/>
    <x v="3"/>
    <n v="53794.18"/>
    <s v="09-11-2024"/>
  </r>
  <r>
    <n v="1179"/>
    <x v="3"/>
    <x v="1"/>
    <n v="36003.440000000002"/>
    <s v="12-01-2024"/>
  </r>
  <r>
    <n v="1180"/>
    <x v="1"/>
    <x v="0"/>
    <n v="11744.96"/>
    <s v="28-04-2024"/>
  </r>
  <r>
    <n v="1181"/>
    <x v="4"/>
    <x v="2"/>
    <n v="33006.239999999998"/>
    <s v="28-02-2024"/>
  </r>
  <r>
    <n v="1182"/>
    <x v="3"/>
    <x v="0"/>
    <n v="28294.75"/>
    <s v="15-12-2024"/>
  </r>
  <r>
    <n v="1183"/>
    <x v="1"/>
    <x v="0"/>
    <n v="30785.85"/>
    <s v="19-02-2024"/>
  </r>
  <r>
    <n v="1184"/>
    <x v="2"/>
    <x v="3"/>
    <n v="54141.41"/>
    <s v="18-09-2024"/>
  </r>
  <r>
    <n v="1185"/>
    <x v="0"/>
    <x v="2"/>
    <n v="50323.89"/>
    <s v="12-08-2024"/>
  </r>
  <r>
    <n v="1186"/>
    <x v="5"/>
    <x v="1"/>
    <n v="58312.31"/>
    <s v="19-10-2024"/>
  </r>
  <r>
    <n v="1187"/>
    <x v="5"/>
    <x v="2"/>
    <n v="22194.77"/>
    <s v="09-05-2024"/>
  </r>
  <r>
    <n v="1188"/>
    <x v="1"/>
    <x v="0"/>
    <n v="1532.79"/>
    <s v="12-06-2024"/>
  </r>
  <r>
    <n v="1189"/>
    <x v="2"/>
    <x v="1"/>
    <n v="20883.189999999999"/>
    <s v="15-12-2024"/>
  </r>
  <r>
    <n v="1190"/>
    <x v="0"/>
    <x v="3"/>
    <n v="22195.79"/>
    <s v="10-10-2024"/>
  </r>
  <r>
    <n v="1191"/>
    <x v="5"/>
    <x v="1"/>
    <n v="48534.54"/>
    <s v="04-06-2024"/>
  </r>
  <r>
    <n v="1192"/>
    <x v="4"/>
    <x v="3"/>
    <n v="14636.72"/>
    <s v="08-10-2024"/>
  </r>
  <r>
    <n v="1193"/>
    <x v="2"/>
    <x v="1"/>
    <n v="30926.85"/>
    <s v="24-07-2024"/>
  </r>
  <r>
    <n v="1194"/>
    <x v="5"/>
    <x v="0"/>
    <n v="58412.77"/>
    <s v="08-02-2024"/>
  </r>
  <r>
    <n v="1195"/>
    <x v="3"/>
    <x v="2"/>
    <n v="30435.807390000002"/>
    <s v="27-10-2024"/>
  </r>
  <r>
    <n v="1196"/>
    <x v="3"/>
    <x v="2"/>
    <n v="44118.94"/>
    <s v="05-06-2024"/>
  </r>
  <r>
    <n v="1197"/>
    <x v="1"/>
    <x v="2"/>
    <n v="41311.629999999997"/>
    <s v="23-04-2024"/>
  </r>
  <r>
    <n v="1198"/>
    <x v="0"/>
    <x v="3"/>
    <n v="47935.11"/>
    <s v="15-10-2024"/>
  </r>
  <r>
    <n v="1199"/>
    <x v="3"/>
    <x v="3"/>
    <n v="10397.959999999999"/>
    <s v="10-07-2024"/>
  </r>
  <r>
    <n v="1200"/>
    <x v="2"/>
    <x v="2"/>
    <n v="34453.96"/>
    <s v="19-11-2024"/>
  </r>
  <r>
    <n v="1201"/>
    <x v="5"/>
    <x v="2"/>
    <n v="19714.55"/>
    <s v="30-12-2024"/>
  </r>
  <r>
    <n v="1202"/>
    <x v="4"/>
    <x v="0"/>
    <n v="24374.19"/>
    <s v="11-11-2024"/>
  </r>
  <r>
    <n v="1203"/>
    <x v="0"/>
    <x v="0"/>
    <n v="10938.22"/>
    <s v="25-11-2024"/>
  </r>
  <r>
    <n v="1204"/>
    <x v="5"/>
    <x v="0"/>
    <n v="49012.21"/>
    <s v="01-06-2024"/>
  </r>
  <r>
    <n v="1205"/>
    <x v="0"/>
    <x v="3"/>
    <n v="48966.16"/>
    <s v="29-12-2024"/>
  </r>
  <r>
    <n v="1206"/>
    <x v="4"/>
    <x v="1"/>
    <n v="15365.46"/>
    <s v="21-07-2024"/>
  </r>
  <r>
    <n v="1207"/>
    <x v="3"/>
    <x v="0"/>
    <n v="31862"/>
    <s v="27-01-2024"/>
  </r>
  <r>
    <n v="1208"/>
    <x v="2"/>
    <x v="2"/>
    <n v="58626.79"/>
    <s v="30-03-2024"/>
  </r>
  <r>
    <n v="1209"/>
    <x v="2"/>
    <x v="2"/>
    <n v="42833.73"/>
    <s v="07-11-2024"/>
  </r>
  <r>
    <n v="1210"/>
    <x v="3"/>
    <x v="3"/>
    <n v="23037.07"/>
    <s v="21-06-2024"/>
  </r>
  <r>
    <n v="1211"/>
    <x v="2"/>
    <x v="1"/>
    <n v="13510.65"/>
    <s v="10-01-2024"/>
  </r>
  <r>
    <n v="1212"/>
    <x v="1"/>
    <x v="2"/>
    <n v="16083.05"/>
    <s v="08-03-2024"/>
  </r>
  <r>
    <n v="1213"/>
    <x v="5"/>
    <x v="2"/>
    <n v="37807.699999999997"/>
    <s v="29-08-2024"/>
  </r>
  <r>
    <n v="1214"/>
    <x v="3"/>
    <x v="3"/>
    <n v="11528.31"/>
    <s v="19-10-2024"/>
  </r>
  <r>
    <n v="1215"/>
    <x v="1"/>
    <x v="3"/>
    <n v="30309.24"/>
    <s v="14-09-2024"/>
  </r>
  <r>
    <n v="1216"/>
    <x v="0"/>
    <x v="1"/>
    <n v="43746.49"/>
    <s v="06-10-2024"/>
  </r>
  <r>
    <n v="1217"/>
    <x v="3"/>
    <x v="2"/>
    <n v="5685.74"/>
    <s v="19-08-2024"/>
  </r>
  <r>
    <n v="1218"/>
    <x v="2"/>
    <x v="0"/>
    <n v="27102.19"/>
    <s v="11-11-2024"/>
  </r>
  <r>
    <n v="1219"/>
    <x v="0"/>
    <x v="3"/>
    <n v="39401.760000000002"/>
    <s v="26-10-2024"/>
  </r>
  <r>
    <n v="1220"/>
    <x v="3"/>
    <x v="1"/>
    <n v="44108.38"/>
    <s v="12-10-2024"/>
  </r>
  <r>
    <n v="1221"/>
    <x v="3"/>
    <x v="1"/>
    <n v="11058.2"/>
    <s v="15-04-2024"/>
  </r>
  <r>
    <n v="1222"/>
    <x v="0"/>
    <x v="0"/>
    <n v="47931.55"/>
    <s v="23-05-2024"/>
  </r>
  <r>
    <n v="1223"/>
    <x v="4"/>
    <x v="1"/>
    <n v="15375.75"/>
    <s v="12-10-2024"/>
  </r>
  <r>
    <n v="1224"/>
    <x v="3"/>
    <x v="0"/>
    <n v="47139.66"/>
    <s v="13-08-2024"/>
  </r>
  <r>
    <n v="1225"/>
    <x v="3"/>
    <x v="3"/>
    <n v="21432.98"/>
    <s v="05-09-2024"/>
  </r>
  <r>
    <n v="1226"/>
    <x v="5"/>
    <x v="2"/>
    <n v="55244.13"/>
    <s v="22-05-2024"/>
  </r>
  <r>
    <n v="1227"/>
    <x v="0"/>
    <x v="2"/>
    <n v="23456.77"/>
    <s v="03-08-2024"/>
  </r>
  <r>
    <n v="1228"/>
    <x v="2"/>
    <x v="3"/>
    <n v="2350.7399999999998"/>
    <s v="12-12-2024"/>
  </r>
  <r>
    <n v="1229"/>
    <x v="0"/>
    <x v="2"/>
    <n v="51858.85"/>
    <s v="12-06-2024"/>
  </r>
  <r>
    <n v="1230"/>
    <x v="2"/>
    <x v="0"/>
    <n v="49686.85"/>
    <s v="20-05-2024"/>
  </r>
  <r>
    <n v="1231"/>
    <x v="1"/>
    <x v="1"/>
    <n v="57983.51"/>
    <s v="05-04-2024"/>
  </r>
  <r>
    <n v="1232"/>
    <x v="2"/>
    <x v="3"/>
    <n v="30435.807390000002"/>
    <s v="12-02-2024"/>
  </r>
  <r>
    <n v="1233"/>
    <x v="0"/>
    <x v="3"/>
    <n v="4431.66"/>
    <s v="23-09-2024"/>
  </r>
  <r>
    <n v="1234"/>
    <x v="2"/>
    <x v="0"/>
    <n v="47179.07"/>
    <s v="19-09-2024"/>
  </r>
  <r>
    <n v="1235"/>
    <x v="5"/>
    <x v="2"/>
    <n v="19068.96"/>
    <s v="03-11-2024"/>
  </r>
  <r>
    <n v="1236"/>
    <x v="0"/>
    <x v="3"/>
    <n v="21899.94"/>
    <s v="03-06-2024"/>
  </r>
  <r>
    <n v="1237"/>
    <x v="3"/>
    <x v="0"/>
    <n v="29399.3"/>
    <s v="02-09-2024"/>
  </r>
  <r>
    <n v="1238"/>
    <x v="1"/>
    <x v="0"/>
    <n v="50223.9"/>
    <s v="31-07-2024"/>
  </r>
  <r>
    <n v="1239"/>
    <x v="4"/>
    <x v="3"/>
    <n v="39119.32"/>
    <s v="03-11-2024"/>
  </r>
  <r>
    <n v="1240"/>
    <x v="2"/>
    <x v="2"/>
    <n v="39450.93"/>
    <s v="14-08-2024"/>
  </r>
  <r>
    <n v="1241"/>
    <x v="3"/>
    <x v="2"/>
    <n v="47427.3"/>
    <s v="08-05-2024"/>
  </r>
  <r>
    <n v="1242"/>
    <x v="2"/>
    <x v="2"/>
    <n v="49682.8"/>
    <s v="03-09-2024"/>
  </r>
  <r>
    <n v="1243"/>
    <x v="5"/>
    <x v="2"/>
    <n v="9859.9699999999993"/>
    <s v="27-03-2024"/>
  </r>
  <r>
    <n v="1244"/>
    <x v="3"/>
    <x v="1"/>
    <n v="1714.4"/>
    <s v="12-05-2024"/>
  </r>
  <r>
    <n v="1245"/>
    <x v="2"/>
    <x v="2"/>
    <n v="47246.720000000001"/>
    <s v="20-02-2024"/>
  </r>
  <r>
    <n v="1246"/>
    <x v="2"/>
    <x v="3"/>
    <n v="2235.75"/>
    <s v="07-08-2024"/>
  </r>
  <r>
    <n v="1247"/>
    <x v="1"/>
    <x v="3"/>
    <n v="30435.807390000002"/>
    <s v="18-10-2024"/>
  </r>
  <r>
    <n v="1248"/>
    <x v="5"/>
    <x v="0"/>
    <n v="48124.14"/>
    <s v="19-05-2024"/>
  </r>
  <r>
    <n v="1249"/>
    <x v="2"/>
    <x v="3"/>
    <n v="10241.67"/>
    <s v="10-01-2024"/>
  </r>
  <r>
    <n v="1250"/>
    <x v="1"/>
    <x v="3"/>
    <n v="37163.440000000002"/>
    <s v="04-10-2024"/>
  </r>
  <r>
    <n v="1251"/>
    <x v="0"/>
    <x v="0"/>
    <n v="30435.807390000002"/>
    <s v="01-05-2024"/>
  </r>
  <r>
    <n v="1252"/>
    <x v="5"/>
    <x v="0"/>
    <n v="28171.83"/>
    <s v="28-10-2024"/>
  </r>
  <r>
    <n v="1253"/>
    <x v="3"/>
    <x v="1"/>
    <n v="56305.9"/>
    <s v="11-10-2024"/>
  </r>
  <r>
    <n v="1254"/>
    <x v="2"/>
    <x v="0"/>
    <n v="9889.89"/>
    <s v="13-02-2024"/>
  </r>
  <r>
    <n v="1255"/>
    <x v="2"/>
    <x v="2"/>
    <n v="41644.230000000003"/>
    <s v="21-10-2024"/>
  </r>
  <r>
    <n v="1256"/>
    <x v="2"/>
    <x v="1"/>
    <n v="44761.01"/>
    <s v="03-01-2024"/>
  </r>
  <r>
    <n v="1257"/>
    <x v="1"/>
    <x v="0"/>
    <n v="44251.21"/>
    <s v="18-08-2024"/>
  </r>
  <r>
    <n v="1258"/>
    <x v="2"/>
    <x v="0"/>
    <n v="50557.87"/>
    <s v="12-01-2024"/>
  </r>
  <r>
    <n v="1259"/>
    <x v="0"/>
    <x v="1"/>
    <n v="19030.650000000001"/>
    <s v="07-11-2024"/>
  </r>
  <r>
    <n v="1260"/>
    <x v="2"/>
    <x v="2"/>
    <n v="9131.5499999999993"/>
    <s v="17-08-2024"/>
  </r>
  <r>
    <n v="1758"/>
    <x v="1"/>
    <x v="3"/>
    <n v="6486.45"/>
    <s v="28-04-2024"/>
  </r>
  <r>
    <n v="1262"/>
    <x v="3"/>
    <x v="2"/>
    <n v="4115.43"/>
    <s v="24-01-2024"/>
  </r>
  <r>
    <n v="1263"/>
    <x v="1"/>
    <x v="1"/>
    <n v="4454.5"/>
    <s v="18-04-2024"/>
  </r>
  <r>
    <n v="1264"/>
    <x v="2"/>
    <x v="3"/>
    <n v="8220.23"/>
    <s v="22-04-2024"/>
  </r>
  <r>
    <n v="1265"/>
    <x v="5"/>
    <x v="3"/>
    <n v="56053.69"/>
    <s v="27-10-2024"/>
  </r>
  <r>
    <n v="1266"/>
    <x v="1"/>
    <x v="0"/>
    <n v="59476.46"/>
    <s v="03-05-2024"/>
  </r>
  <r>
    <n v="1267"/>
    <x v="3"/>
    <x v="1"/>
    <n v="2545.61"/>
    <s v="22-04-2024"/>
  </r>
  <r>
    <n v="1268"/>
    <x v="1"/>
    <x v="2"/>
    <n v="51310.95"/>
    <s v="09-03-2024"/>
  </r>
  <r>
    <n v="1269"/>
    <x v="1"/>
    <x v="3"/>
    <n v="5755.49"/>
    <s v="18-08-2024"/>
  </r>
  <r>
    <n v="1270"/>
    <x v="4"/>
    <x v="3"/>
    <n v="8749.6200000000008"/>
    <s v="26-02-2024"/>
  </r>
  <r>
    <n v="1271"/>
    <x v="2"/>
    <x v="0"/>
    <n v="16440.64"/>
    <s v="11-06-2024"/>
  </r>
  <r>
    <n v="1272"/>
    <x v="3"/>
    <x v="1"/>
    <n v="50842.58"/>
    <s v="10-03-2024"/>
  </r>
  <r>
    <n v="1273"/>
    <x v="4"/>
    <x v="1"/>
    <n v="9215.48"/>
    <s v="14-07-2024"/>
  </r>
  <r>
    <n v="1274"/>
    <x v="1"/>
    <x v="3"/>
    <n v="8551.2999999999993"/>
    <s v="17-07-2024"/>
  </r>
  <r>
    <n v="1275"/>
    <x v="5"/>
    <x v="3"/>
    <n v="9552.94"/>
    <s v="27-03-2024"/>
  </r>
  <r>
    <n v="1276"/>
    <x v="1"/>
    <x v="3"/>
    <n v="21620.880000000001"/>
    <s v="09-06-2024"/>
  </r>
  <r>
    <n v="1277"/>
    <x v="2"/>
    <x v="2"/>
    <n v="31880.06"/>
    <s v="01-03-2024"/>
  </r>
  <r>
    <n v="1278"/>
    <x v="3"/>
    <x v="0"/>
    <n v="37161.11"/>
    <s v="16-07-2024"/>
  </r>
  <r>
    <n v="1279"/>
    <x v="2"/>
    <x v="0"/>
    <n v="51857.23"/>
    <s v="04-05-2024"/>
  </r>
  <r>
    <n v="1280"/>
    <x v="5"/>
    <x v="3"/>
    <n v="47845.39"/>
    <s v="18-02-2024"/>
  </r>
  <r>
    <n v="1281"/>
    <x v="2"/>
    <x v="0"/>
    <n v="31643.77"/>
    <s v="19-08-2024"/>
  </r>
  <r>
    <n v="1282"/>
    <x v="5"/>
    <x v="3"/>
    <n v="46548.74"/>
    <s v="06-03-2024"/>
  </r>
  <r>
    <n v="1283"/>
    <x v="3"/>
    <x v="3"/>
    <n v="7222.95"/>
    <s v="05-10-2024"/>
  </r>
  <r>
    <n v="1284"/>
    <x v="3"/>
    <x v="1"/>
    <n v="17941.14"/>
    <s v="23-10-2024"/>
  </r>
  <r>
    <n v="1285"/>
    <x v="5"/>
    <x v="0"/>
    <n v="10319.33"/>
    <s v="24-09-2024"/>
  </r>
  <r>
    <n v="1286"/>
    <x v="5"/>
    <x v="1"/>
    <n v="30916.02"/>
    <s v="07-08-2024"/>
  </r>
  <r>
    <n v="1287"/>
    <x v="1"/>
    <x v="1"/>
    <n v="26979.08"/>
    <s v="02-09-2024"/>
  </r>
  <r>
    <n v="1288"/>
    <x v="0"/>
    <x v="2"/>
    <n v="8223.6"/>
    <s v="06-06-2024"/>
  </r>
  <r>
    <n v="1289"/>
    <x v="0"/>
    <x v="2"/>
    <n v="30435.807390000002"/>
    <s v="25-01-2024"/>
  </r>
  <r>
    <n v="1290"/>
    <x v="5"/>
    <x v="1"/>
    <n v="58433.99"/>
    <s v="21-09-2024"/>
  </r>
  <r>
    <n v="1291"/>
    <x v="1"/>
    <x v="1"/>
    <n v="28096.65"/>
    <s v="31-07-2024"/>
  </r>
  <r>
    <n v="1292"/>
    <x v="2"/>
    <x v="1"/>
    <n v="7663.65"/>
    <s v="05-08-2024"/>
  </r>
  <r>
    <n v="1293"/>
    <x v="1"/>
    <x v="3"/>
    <n v="45180.75"/>
    <s v="05-10-2024"/>
  </r>
  <r>
    <n v="1294"/>
    <x v="0"/>
    <x v="3"/>
    <n v="8449.6200000000008"/>
    <s v="28-09-2024"/>
  </r>
  <r>
    <n v="1295"/>
    <x v="4"/>
    <x v="3"/>
    <n v="39661.660000000003"/>
    <s v="01-01-2024"/>
  </r>
  <r>
    <n v="1296"/>
    <x v="2"/>
    <x v="1"/>
    <n v="13546.02"/>
    <s v="14-08-2024"/>
  </r>
  <r>
    <n v="1297"/>
    <x v="1"/>
    <x v="2"/>
    <n v="4486.54"/>
    <s v="25-07-2024"/>
  </r>
  <r>
    <n v="1298"/>
    <x v="0"/>
    <x v="1"/>
    <n v="27376.28"/>
    <s v="07-02-2024"/>
  </r>
  <r>
    <n v="1299"/>
    <x v="0"/>
    <x v="2"/>
    <n v="29265.13"/>
    <s v="07-10-2024"/>
  </r>
  <r>
    <n v="1300"/>
    <x v="2"/>
    <x v="0"/>
    <n v="49736.3"/>
    <s v="01-10-2024"/>
  </r>
  <r>
    <n v="1301"/>
    <x v="3"/>
    <x v="2"/>
    <n v="17609.75"/>
    <s v="29-04-2024"/>
  </r>
  <r>
    <n v="1302"/>
    <x v="1"/>
    <x v="0"/>
    <n v="18774.650000000001"/>
    <s v="21-07-2024"/>
  </r>
  <r>
    <n v="1303"/>
    <x v="1"/>
    <x v="0"/>
    <n v="52757.13"/>
    <s v="02-01-2024"/>
  </r>
  <r>
    <n v="1304"/>
    <x v="3"/>
    <x v="2"/>
    <n v="47880.12"/>
    <s v="06-06-2024"/>
  </r>
  <r>
    <n v="1305"/>
    <x v="3"/>
    <x v="1"/>
    <n v="13993.29"/>
    <s v="20-06-2024"/>
  </r>
  <r>
    <n v="1306"/>
    <x v="0"/>
    <x v="2"/>
    <n v="52859.76"/>
    <s v="05-03-2024"/>
  </r>
  <r>
    <n v="1307"/>
    <x v="3"/>
    <x v="0"/>
    <n v="9113.9"/>
    <s v="26-05-2024"/>
  </r>
  <r>
    <n v="1308"/>
    <x v="3"/>
    <x v="2"/>
    <n v="15008.57"/>
    <s v="13-12-2024"/>
  </r>
  <r>
    <n v="1309"/>
    <x v="1"/>
    <x v="2"/>
    <n v="36438.410000000003"/>
    <s v="26-12-2024"/>
  </r>
  <r>
    <n v="1310"/>
    <x v="2"/>
    <x v="3"/>
    <n v="3693.28"/>
    <s v="15-05-2024"/>
  </r>
  <r>
    <n v="1311"/>
    <x v="5"/>
    <x v="1"/>
    <n v="28714.880000000001"/>
    <s v="24-08-2024"/>
  </r>
  <r>
    <n v="1312"/>
    <x v="1"/>
    <x v="0"/>
    <n v="50791.55"/>
    <s v="18-12-2024"/>
  </r>
  <r>
    <n v="1313"/>
    <x v="5"/>
    <x v="0"/>
    <n v="24423.89"/>
    <s v="06-02-2024"/>
  </r>
  <r>
    <n v="1314"/>
    <x v="1"/>
    <x v="3"/>
    <n v="2750.43"/>
    <s v="10-07-2024"/>
  </r>
  <r>
    <n v="1315"/>
    <x v="0"/>
    <x v="1"/>
    <n v="25250.240000000002"/>
    <s v="18-04-2024"/>
  </r>
  <r>
    <n v="1316"/>
    <x v="2"/>
    <x v="1"/>
    <n v="30435.807390000002"/>
    <s v="12-12-2024"/>
  </r>
  <r>
    <n v="1317"/>
    <x v="2"/>
    <x v="0"/>
    <n v="16144.96"/>
    <s v="19-11-2024"/>
  </r>
  <r>
    <n v="1318"/>
    <x v="5"/>
    <x v="3"/>
    <n v="5189.45"/>
    <s v="30-08-2024"/>
  </r>
  <r>
    <n v="1319"/>
    <x v="5"/>
    <x v="0"/>
    <n v="1597.74"/>
    <s v="28-07-2024"/>
  </r>
  <r>
    <n v="1320"/>
    <x v="5"/>
    <x v="1"/>
    <n v="44717.89"/>
    <s v="02-04-2024"/>
  </r>
  <r>
    <n v="1321"/>
    <x v="0"/>
    <x v="0"/>
    <n v="18407.400000000001"/>
    <s v="16-11-2024"/>
  </r>
  <r>
    <n v="1322"/>
    <x v="0"/>
    <x v="1"/>
    <n v="28529.86"/>
    <s v="20-10-2024"/>
  </r>
  <r>
    <n v="1323"/>
    <x v="2"/>
    <x v="3"/>
    <n v="47550.12"/>
    <s v="06-07-2024"/>
  </r>
  <r>
    <n v="1324"/>
    <x v="5"/>
    <x v="3"/>
    <n v="6833.54"/>
    <s v="15-03-2024"/>
  </r>
  <r>
    <n v="1325"/>
    <x v="5"/>
    <x v="1"/>
    <n v="10844.75"/>
    <s v="07-01-2024"/>
  </r>
  <r>
    <n v="1326"/>
    <x v="0"/>
    <x v="3"/>
    <n v="30435.807390000002"/>
    <s v="05-05-2024"/>
  </r>
  <r>
    <n v="1327"/>
    <x v="5"/>
    <x v="3"/>
    <n v="34021.620000000003"/>
    <s v="31-01-2024"/>
  </r>
  <r>
    <n v="1328"/>
    <x v="4"/>
    <x v="3"/>
    <n v="23668.2"/>
    <s v="03-06-2024"/>
  </r>
  <r>
    <n v="1329"/>
    <x v="2"/>
    <x v="3"/>
    <n v="9676.65"/>
    <s v="01-09-2024"/>
  </r>
  <r>
    <n v="1330"/>
    <x v="5"/>
    <x v="1"/>
    <n v="53415.82"/>
    <s v="14-07-2024"/>
  </r>
  <r>
    <n v="1331"/>
    <x v="3"/>
    <x v="1"/>
    <n v="30435.807390000002"/>
    <s v="11-08-2024"/>
  </r>
  <r>
    <n v="1332"/>
    <x v="0"/>
    <x v="0"/>
    <n v="50185.35"/>
    <s v="11-02-2024"/>
  </r>
  <r>
    <n v="1333"/>
    <x v="5"/>
    <x v="2"/>
    <n v="50010.62"/>
    <s v="19-11-2024"/>
  </r>
  <r>
    <n v="1334"/>
    <x v="1"/>
    <x v="3"/>
    <n v="24704.95"/>
    <s v="29-09-2024"/>
  </r>
  <r>
    <n v="1335"/>
    <x v="2"/>
    <x v="0"/>
    <n v="9731.06"/>
    <s v="05-01-2024"/>
  </r>
  <r>
    <n v="1336"/>
    <x v="3"/>
    <x v="3"/>
    <n v="32469.81"/>
    <s v="19-05-2024"/>
  </r>
  <r>
    <n v="1337"/>
    <x v="0"/>
    <x v="0"/>
    <n v="28540.14"/>
    <s v="12-01-2024"/>
  </r>
  <r>
    <n v="1338"/>
    <x v="5"/>
    <x v="0"/>
    <n v="18844.400000000001"/>
    <s v="15-08-2024"/>
  </r>
  <r>
    <n v="1339"/>
    <x v="0"/>
    <x v="0"/>
    <n v="30047.200000000001"/>
    <s v="29-08-2024"/>
  </r>
  <r>
    <n v="1340"/>
    <x v="2"/>
    <x v="2"/>
    <n v="48588.77"/>
    <s v="11-06-2024"/>
  </r>
  <r>
    <n v="1341"/>
    <x v="2"/>
    <x v="1"/>
    <n v="53692.32"/>
    <s v="26-05-2024"/>
  </r>
  <r>
    <n v="1342"/>
    <x v="0"/>
    <x v="2"/>
    <n v="45993.19"/>
    <s v="22-01-2024"/>
  </r>
  <r>
    <n v="1343"/>
    <x v="1"/>
    <x v="1"/>
    <n v="48461.8"/>
    <s v="31-05-2024"/>
  </r>
  <r>
    <n v="1344"/>
    <x v="5"/>
    <x v="1"/>
    <n v="6298.92"/>
    <s v="30-01-2024"/>
  </r>
  <r>
    <n v="1345"/>
    <x v="2"/>
    <x v="1"/>
    <n v="45452.25"/>
    <s v="06-07-2024"/>
  </r>
  <r>
    <n v="1346"/>
    <x v="2"/>
    <x v="0"/>
    <n v="5581.31"/>
    <s v="16-09-2024"/>
  </r>
  <r>
    <n v="1347"/>
    <x v="3"/>
    <x v="2"/>
    <n v="5266.67"/>
    <s v="01-03-2024"/>
  </r>
  <r>
    <n v="1348"/>
    <x v="3"/>
    <x v="2"/>
    <n v="15291.64"/>
    <s v="23-12-2024"/>
  </r>
  <r>
    <n v="1349"/>
    <x v="2"/>
    <x v="1"/>
    <n v="17579.27"/>
    <s v="02-08-2024"/>
  </r>
  <r>
    <n v="1350"/>
    <x v="5"/>
    <x v="3"/>
    <n v="38788.089999999997"/>
    <s v="25-09-2024"/>
  </r>
  <r>
    <n v="1351"/>
    <x v="2"/>
    <x v="0"/>
    <n v="27511.63"/>
    <s v="10-01-2024"/>
  </r>
  <r>
    <n v="1352"/>
    <x v="0"/>
    <x v="3"/>
    <n v="18888.45"/>
    <s v="30-11-2024"/>
  </r>
  <r>
    <n v="1353"/>
    <x v="0"/>
    <x v="1"/>
    <n v="17772.169999999998"/>
    <s v="03-12-2024"/>
  </r>
  <r>
    <n v="1354"/>
    <x v="5"/>
    <x v="1"/>
    <n v="47197.98"/>
    <s v="30-09-2024"/>
  </r>
  <r>
    <n v="1355"/>
    <x v="1"/>
    <x v="2"/>
    <n v="30435.807390000002"/>
    <s v="20-11-2024"/>
  </r>
  <r>
    <n v="1356"/>
    <x v="3"/>
    <x v="1"/>
    <n v="52126.33"/>
    <s v="09-04-2024"/>
  </r>
  <r>
    <n v="1357"/>
    <x v="5"/>
    <x v="3"/>
    <n v="7845.34"/>
    <s v="05-08-2024"/>
  </r>
  <r>
    <n v="1358"/>
    <x v="2"/>
    <x v="2"/>
    <n v="52655.16"/>
    <s v="10-04-2024"/>
  </r>
  <r>
    <n v="1359"/>
    <x v="1"/>
    <x v="2"/>
    <n v="47127.61"/>
    <s v="19-05-2024"/>
  </r>
  <r>
    <n v="1360"/>
    <x v="3"/>
    <x v="2"/>
    <n v="7547.67"/>
    <s v="12-09-2024"/>
  </r>
  <r>
    <n v="1361"/>
    <x v="2"/>
    <x v="0"/>
    <n v="51170.53"/>
    <s v="16-01-2024"/>
  </r>
  <r>
    <n v="1362"/>
    <x v="2"/>
    <x v="1"/>
    <n v="3120.38"/>
    <s v="03-08-2024"/>
  </r>
  <r>
    <n v="1363"/>
    <x v="0"/>
    <x v="0"/>
    <n v="28621.09"/>
    <s v="05-03-2024"/>
  </r>
  <r>
    <n v="1364"/>
    <x v="3"/>
    <x v="1"/>
    <n v="16787.97"/>
    <s v="22-02-2024"/>
  </r>
  <r>
    <n v="1365"/>
    <x v="3"/>
    <x v="2"/>
    <n v="2853.89"/>
    <s v="20-04-2024"/>
  </r>
  <r>
    <n v="1366"/>
    <x v="3"/>
    <x v="2"/>
    <n v="30435.807390000002"/>
    <s v="11-12-2024"/>
  </r>
  <r>
    <n v="1367"/>
    <x v="2"/>
    <x v="0"/>
    <n v="8407.4599999999991"/>
    <s v="29-06-2024"/>
  </r>
  <r>
    <n v="1368"/>
    <x v="1"/>
    <x v="0"/>
    <n v="20593.86"/>
    <s v="01-06-2024"/>
  </r>
  <r>
    <n v="1369"/>
    <x v="0"/>
    <x v="0"/>
    <n v="39141.07"/>
    <s v="14-05-2024"/>
  </r>
  <r>
    <n v="1370"/>
    <x v="5"/>
    <x v="0"/>
    <n v="13218.6"/>
    <s v="28-02-2024"/>
  </r>
  <r>
    <n v="1371"/>
    <x v="5"/>
    <x v="2"/>
    <n v="28954.78"/>
    <s v="05-08-2024"/>
  </r>
  <r>
    <n v="1372"/>
    <x v="1"/>
    <x v="1"/>
    <n v="34116.32"/>
    <s v="04-10-2024"/>
  </r>
  <r>
    <n v="1373"/>
    <x v="1"/>
    <x v="0"/>
    <n v="35119.61"/>
    <s v="23-09-2024"/>
  </r>
  <r>
    <n v="1374"/>
    <x v="3"/>
    <x v="1"/>
    <n v="56896.32"/>
    <s v="11-04-2024"/>
  </r>
  <r>
    <n v="1375"/>
    <x v="0"/>
    <x v="2"/>
    <n v="9690.8799999999992"/>
    <s v="05-01-2024"/>
  </r>
  <r>
    <n v="1376"/>
    <x v="1"/>
    <x v="2"/>
    <n v="21901.8"/>
    <s v="01-05-2024"/>
  </r>
  <r>
    <n v="1377"/>
    <x v="1"/>
    <x v="2"/>
    <n v="26536.14"/>
    <s v="09-08-2024"/>
  </r>
  <r>
    <n v="1378"/>
    <x v="3"/>
    <x v="3"/>
    <n v="59703.9"/>
    <s v="19-02-2024"/>
  </r>
  <r>
    <n v="1379"/>
    <x v="0"/>
    <x v="2"/>
    <n v="42991.65"/>
    <s v="30-03-2024"/>
  </r>
  <r>
    <n v="1380"/>
    <x v="5"/>
    <x v="3"/>
    <n v="1768.74"/>
    <s v="16-09-2024"/>
  </r>
  <r>
    <n v="1381"/>
    <x v="2"/>
    <x v="2"/>
    <n v="58056.11"/>
    <s v="08-01-2024"/>
  </r>
  <r>
    <n v="1382"/>
    <x v="3"/>
    <x v="3"/>
    <n v="40329.43"/>
    <s v="05-07-2024"/>
  </r>
  <r>
    <n v="1383"/>
    <x v="0"/>
    <x v="3"/>
    <n v="23242.15"/>
    <s v="04-06-2024"/>
  </r>
  <r>
    <n v="1384"/>
    <x v="5"/>
    <x v="2"/>
    <n v="44002.83"/>
    <s v="31-03-2024"/>
  </r>
  <r>
    <n v="1385"/>
    <x v="3"/>
    <x v="0"/>
    <n v="30435.807390000002"/>
    <s v="15-08-2024"/>
  </r>
  <r>
    <n v="1386"/>
    <x v="2"/>
    <x v="3"/>
    <n v="30435.807390000002"/>
    <s v="02-04-2024"/>
  </r>
  <r>
    <n v="1387"/>
    <x v="4"/>
    <x v="2"/>
    <n v="17257.330000000002"/>
    <s v="17-01-2024"/>
  </r>
  <r>
    <n v="1388"/>
    <x v="1"/>
    <x v="0"/>
    <n v="12303.98"/>
    <s v="30-12-2024"/>
  </r>
  <r>
    <n v="1389"/>
    <x v="1"/>
    <x v="1"/>
    <n v="9742.5"/>
    <s v="24-08-2024"/>
  </r>
  <r>
    <n v="1390"/>
    <x v="0"/>
    <x v="1"/>
    <n v="20253.97"/>
    <s v="18-04-2024"/>
  </r>
  <r>
    <n v="1391"/>
    <x v="5"/>
    <x v="3"/>
    <n v="29103.81"/>
    <s v="29-08-2024"/>
  </r>
  <r>
    <n v="1392"/>
    <x v="0"/>
    <x v="2"/>
    <n v="13217.47"/>
    <s v="19-11-2024"/>
  </r>
  <r>
    <n v="1393"/>
    <x v="5"/>
    <x v="0"/>
    <n v="3810.83"/>
    <s v="12-06-2024"/>
  </r>
  <r>
    <n v="1394"/>
    <x v="3"/>
    <x v="3"/>
    <n v="17665.87"/>
    <s v="05-10-2024"/>
  </r>
  <r>
    <n v="1395"/>
    <x v="3"/>
    <x v="0"/>
    <n v="22368.400000000001"/>
    <s v="08-11-2024"/>
  </r>
  <r>
    <n v="1396"/>
    <x v="5"/>
    <x v="1"/>
    <n v="30435.807390000002"/>
    <s v="29-10-2024"/>
  </r>
  <r>
    <n v="1397"/>
    <x v="2"/>
    <x v="3"/>
    <n v="45785.07"/>
    <s v="09-11-2024"/>
  </r>
  <r>
    <n v="1398"/>
    <x v="5"/>
    <x v="2"/>
    <n v="54214.47"/>
    <s v="15-08-2024"/>
  </r>
  <r>
    <n v="1399"/>
    <x v="2"/>
    <x v="1"/>
    <n v="33125.32"/>
    <s v="20-07-2024"/>
  </r>
  <r>
    <n v="1400"/>
    <x v="3"/>
    <x v="0"/>
    <n v="29430.18"/>
    <s v="29-09-2024"/>
  </r>
  <r>
    <n v="1401"/>
    <x v="2"/>
    <x v="0"/>
    <n v="31024.54"/>
    <s v="18-10-2024"/>
  </r>
  <r>
    <n v="1402"/>
    <x v="1"/>
    <x v="3"/>
    <n v="8199.7999999999993"/>
    <s v="15-06-2024"/>
  </r>
  <r>
    <n v="1403"/>
    <x v="2"/>
    <x v="1"/>
    <n v="40243.629999999997"/>
    <s v="01-09-2024"/>
  </r>
  <r>
    <n v="1404"/>
    <x v="3"/>
    <x v="3"/>
    <n v="23450.54"/>
    <s v="27-09-2024"/>
  </r>
  <r>
    <n v="1405"/>
    <x v="4"/>
    <x v="1"/>
    <n v="48055.29"/>
    <s v="15-10-2024"/>
  </r>
  <r>
    <n v="1406"/>
    <x v="2"/>
    <x v="1"/>
    <n v="58055.08"/>
    <s v="04-12-2024"/>
  </r>
  <r>
    <n v="1407"/>
    <x v="2"/>
    <x v="3"/>
    <n v="57195.56"/>
    <s v="20-03-2024"/>
  </r>
  <r>
    <n v="1408"/>
    <x v="1"/>
    <x v="0"/>
    <n v="52413.43"/>
    <s v="08-11-2024"/>
  </r>
  <r>
    <n v="1409"/>
    <x v="0"/>
    <x v="3"/>
    <n v="1717.25"/>
    <s v="23-11-2024"/>
  </r>
  <r>
    <n v="1410"/>
    <x v="1"/>
    <x v="1"/>
    <n v="37656.25"/>
    <s v="06-04-2024"/>
  </r>
  <r>
    <n v="1411"/>
    <x v="1"/>
    <x v="2"/>
    <n v="20674.29"/>
    <s v="01-08-2024"/>
  </r>
  <r>
    <n v="1412"/>
    <x v="3"/>
    <x v="3"/>
    <n v="38304.65"/>
    <s v="14-01-2024"/>
  </r>
  <r>
    <n v="1413"/>
    <x v="5"/>
    <x v="3"/>
    <n v="54969.14"/>
    <s v="05-08-2024"/>
  </r>
  <r>
    <n v="1414"/>
    <x v="0"/>
    <x v="0"/>
    <n v="12199.1"/>
    <s v="06-08-2024"/>
  </r>
  <r>
    <n v="1415"/>
    <x v="2"/>
    <x v="0"/>
    <n v="33426.769999999997"/>
    <s v="14-06-2024"/>
  </r>
  <r>
    <n v="1416"/>
    <x v="2"/>
    <x v="3"/>
    <n v="6431.95"/>
    <s v="17-04-2024"/>
  </r>
  <r>
    <n v="1417"/>
    <x v="2"/>
    <x v="0"/>
    <n v="34255.94"/>
    <s v="13-03-2024"/>
  </r>
  <r>
    <n v="1418"/>
    <x v="2"/>
    <x v="1"/>
    <n v="56857.29"/>
    <s v="02-06-2024"/>
  </r>
  <r>
    <n v="1419"/>
    <x v="1"/>
    <x v="0"/>
    <n v="37887.08"/>
    <s v="25-01-2024"/>
  </r>
  <r>
    <n v="1420"/>
    <x v="5"/>
    <x v="0"/>
    <n v="56439.44"/>
    <s v="17-05-2024"/>
  </r>
  <r>
    <n v="1421"/>
    <x v="3"/>
    <x v="2"/>
    <n v="1490.88"/>
    <s v="23-02-2024"/>
  </r>
  <r>
    <n v="1422"/>
    <x v="2"/>
    <x v="2"/>
    <n v="31250.86"/>
    <s v="04-09-2024"/>
  </r>
  <r>
    <n v="1423"/>
    <x v="2"/>
    <x v="1"/>
    <n v="39585.65"/>
    <s v="01-09-2024"/>
  </r>
  <r>
    <n v="1836"/>
    <x v="0"/>
    <x v="0"/>
    <n v="15606.03"/>
    <s v="22-10-2024"/>
  </r>
  <r>
    <n v="1425"/>
    <x v="5"/>
    <x v="1"/>
    <n v="20649.060000000001"/>
    <s v="03-12-2024"/>
  </r>
  <r>
    <n v="1426"/>
    <x v="0"/>
    <x v="3"/>
    <n v="44830.01"/>
    <s v="31-03-2024"/>
  </r>
  <r>
    <n v="1427"/>
    <x v="3"/>
    <x v="1"/>
    <n v="16862.36"/>
    <s v="10-10-2024"/>
  </r>
  <r>
    <n v="1428"/>
    <x v="5"/>
    <x v="3"/>
    <n v="38639.300000000003"/>
    <s v="17-08-2024"/>
  </r>
  <r>
    <n v="1429"/>
    <x v="3"/>
    <x v="3"/>
    <n v="18250.599999999999"/>
    <s v="18-05-2024"/>
  </r>
  <r>
    <n v="1430"/>
    <x v="5"/>
    <x v="3"/>
    <n v="30435.807390000002"/>
    <s v="25-07-2024"/>
  </r>
  <r>
    <n v="1431"/>
    <x v="4"/>
    <x v="2"/>
    <n v="7600.96"/>
    <s v="12-05-2024"/>
  </r>
  <r>
    <n v="1432"/>
    <x v="1"/>
    <x v="0"/>
    <n v="48544.83"/>
    <s v="08-05-2024"/>
  </r>
  <r>
    <n v="1433"/>
    <x v="5"/>
    <x v="3"/>
    <n v="49884.78"/>
    <s v="01-06-2024"/>
  </r>
  <r>
    <n v="1434"/>
    <x v="2"/>
    <x v="2"/>
    <n v="17018.43"/>
    <s v="01-12-2024"/>
  </r>
  <r>
    <n v="1435"/>
    <x v="2"/>
    <x v="1"/>
    <n v="51670.19"/>
    <s v="27-03-2024"/>
  </r>
  <r>
    <n v="1436"/>
    <x v="5"/>
    <x v="1"/>
    <n v="40745.08"/>
    <s v="20-05-2024"/>
  </r>
  <r>
    <n v="1437"/>
    <x v="1"/>
    <x v="3"/>
    <n v="32381.46"/>
    <s v="17-04-2024"/>
  </r>
  <r>
    <n v="1438"/>
    <x v="4"/>
    <x v="2"/>
    <n v="15250.67"/>
    <s v="17-05-2024"/>
  </r>
  <r>
    <n v="1439"/>
    <x v="1"/>
    <x v="0"/>
    <n v="15380.04"/>
    <s v="06-05-2024"/>
  </r>
  <r>
    <n v="1440"/>
    <x v="2"/>
    <x v="2"/>
    <n v="25530.73"/>
    <s v="19-01-2024"/>
  </r>
  <r>
    <n v="1441"/>
    <x v="5"/>
    <x v="1"/>
    <n v="34949.15"/>
    <s v="02-04-2024"/>
  </r>
  <r>
    <n v="1442"/>
    <x v="2"/>
    <x v="2"/>
    <n v="41832.35"/>
    <s v="11-03-2024"/>
  </r>
  <r>
    <n v="1443"/>
    <x v="3"/>
    <x v="2"/>
    <n v="46812.87"/>
    <s v="02-03-2024"/>
  </r>
  <r>
    <n v="1444"/>
    <x v="3"/>
    <x v="0"/>
    <n v="15943.07"/>
    <s v="25-01-2024"/>
  </r>
  <r>
    <n v="1445"/>
    <x v="2"/>
    <x v="3"/>
    <n v="8515.7999999999993"/>
    <s v="27-04-2024"/>
  </r>
  <r>
    <n v="1446"/>
    <x v="3"/>
    <x v="0"/>
    <n v="5466.28"/>
    <s v="30-01-2024"/>
  </r>
  <r>
    <n v="1447"/>
    <x v="2"/>
    <x v="0"/>
    <n v="11721.67"/>
    <s v="25-12-2024"/>
  </r>
  <r>
    <n v="1448"/>
    <x v="1"/>
    <x v="0"/>
    <n v="26574.86"/>
    <s v="08-08-2024"/>
  </r>
  <r>
    <n v="1449"/>
    <x v="3"/>
    <x v="2"/>
    <n v="22804.880000000001"/>
    <s v="29-02-2024"/>
  </r>
  <r>
    <n v="1450"/>
    <x v="4"/>
    <x v="2"/>
    <n v="29555.37"/>
    <s v="13-12-2024"/>
  </r>
  <r>
    <n v="1451"/>
    <x v="4"/>
    <x v="1"/>
    <n v="33333.910000000003"/>
    <s v="13-11-2024"/>
  </r>
  <r>
    <n v="1452"/>
    <x v="2"/>
    <x v="0"/>
    <n v="11022.98"/>
    <s v="21-09-2024"/>
  </r>
  <r>
    <n v="1453"/>
    <x v="5"/>
    <x v="0"/>
    <n v="46683.86"/>
    <s v="01-09-2024"/>
  </r>
  <r>
    <n v="1454"/>
    <x v="2"/>
    <x v="2"/>
    <n v="19515.78"/>
    <s v="09-02-2024"/>
  </r>
  <r>
    <n v="1455"/>
    <x v="0"/>
    <x v="1"/>
    <n v="35495.42"/>
    <s v="26-06-2024"/>
  </r>
  <r>
    <n v="1456"/>
    <x v="0"/>
    <x v="0"/>
    <n v="16579.66"/>
    <s v="14-06-2024"/>
  </r>
  <r>
    <n v="1457"/>
    <x v="5"/>
    <x v="2"/>
    <n v="39627.839999999997"/>
    <s v="04-10-2024"/>
  </r>
  <r>
    <n v="1458"/>
    <x v="0"/>
    <x v="1"/>
    <n v="47415.79"/>
    <s v="22-12-2024"/>
  </r>
  <r>
    <n v="1459"/>
    <x v="5"/>
    <x v="3"/>
    <n v="53419.38"/>
    <s v="19-03-2024"/>
  </r>
  <r>
    <n v="1460"/>
    <x v="2"/>
    <x v="1"/>
    <n v="20192.150000000001"/>
    <s v="13-04-2024"/>
  </r>
  <r>
    <n v="1461"/>
    <x v="2"/>
    <x v="3"/>
    <n v="49772.47"/>
    <s v="19-05-2024"/>
  </r>
  <r>
    <n v="1462"/>
    <x v="0"/>
    <x v="0"/>
    <n v="3380.7"/>
    <s v="09-09-2024"/>
  </r>
  <r>
    <n v="1463"/>
    <x v="5"/>
    <x v="1"/>
    <n v="30435.807390000002"/>
    <s v="30-10-2024"/>
  </r>
  <r>
    <n v="1342"/>
    <x v="2"/>
    <x v="2"/>
    <n v="8826.0300000000007"/>
    <s v="12-09-2024"/>
  </r>
  <r>
    <n v="1465"/>
    <x v="0"/>
    <x v="0"/>
    <n v="59450.07"/>
    <s v="19-01-2024"/>
  </r>
  <r>
    <n v="1466"/>
    <x v="1"/>
    <x v="2"/>
    <n v="55819.23"/>
    <s v="01-07-2024"/>
  </r>
  <r>
    <n v="1467"/>
    <x v="5"/>
    <x v="2"/>
    <n v="28208.85"/>
    <s v="14-06-2024"/>
  </r>
  <r>
    <n v="1468"/>
    <x v="3"/>
    <x v="0"/>
    <n v="56559.83"/>
    <s v="03-10-2024"/>
  </r>
  <r>
    <n v="1469"/>
    <x v="0"/>
    <x v="2"/>
    <n v="45119.87"/>
    <s v="22-11-2024"/>
  </r>
  <r>
    <n v="1470"/>
    <x v="2"/>
    <x v="0"/>
    <n v="11013.98"/>
    <s v="21-04-2024"/>
  </r>
  <r>
    <n v="1471"/>
    <x v="1"/>
    <x v="0"/>
    <n v="54702.57"/>
    <s v="04-06-2024"/>
  </r>
  <r>
    <n v="1472"/>
    <x v="0"/>
    <x v="3"/>
    <n v="35408.26"/>
    <s v="29-12-2024"/>
  </r>
  <r>
    <n v="1473"/>
    <x v="3"/>
    <x v="1"/>
    <n v="52977.41"/>
    <s v="23-05-2024"/>
  </r>
  <r>
    <n v="1474"/>
    <x v="1"/>
    <x v="3"/>
    <n v="48204.33"/>
    <s v="12-09-2024"/>
  </r>
  <r>
    <n v="1475"/>
    <x v="3"/>
    <x v="2"/>
    <n v="28435.56"/>
    <s v="04-04-2024"/>
  </r>
  <r>
    <n v="1476"/>
    <x v="3"/>
    <x v="2"/>
    <n v="53621.69"/>
    <s v="11-01-2024"/>
  </r>
  <r>
    <n v="1477"/>
    <x v="0"/>
    <x v="3"/>
    <n v="5414.45"/>
    <s v="27-09-2024"/>
  </r>
  <r>
    <n v="1478"/>
    <x v="2"/>
    <x v="3"/>
    <n v="17423.740000000002"/>
    <s v="25-12-2024"/>
  </r>
  <r>
    <n v="1479"/>
    <x v="2"/>
    <x v="0"/>
    <n v="22570.15"/>
    <s v="04-05-2024"/>
  </r>
  <r>
    <n v="1480"/>
    <x v="3"/>
    <x v="3"/>
    <n v="59217.02"/>
    <s v="04-10-2024"/>
  </r>
  <r>
    <n v="1481"/>
    <x v="2"/>
    <x v="1"/>
    <n v="30825.02"/>
    <s v="25-08-2024"/>
  </r>
  <r>
    <n v="1482"/>
    <x v="0"/>
    <x v="3"/>
    <n v="24346.77"/>
    <s v="15-04-2024"/>
  </r>
  <r>
    <n v="1483"/>
    <x v="3"/>
    <x v="2"/>
    <n v="59514.6"/>
    <s v="15-04-2024"/>
  </r>
  <r>
    <n v="1484"/>
    <x v="1"/>
    <x v="2"/>
    <n v="12514.82"/>
    <s v="22-03-2024"/>
  </r>
  <r>
    <n v="1485"/>
    <x v="2"/>
    <x v="1"/>
    <n v="48183.360000000001"/>
    <s v="21-10-2024"/>
  </r>
  <r>
    <n v="1486"/>
    <x v="5"/>
    <x v="2"/>
    <n v="34495.910000000003"/>
    <s v="06-07-2024"/>
  </r>
  <r>
    <n v="1487"/>
    <x v="2"/>
    <x v="3"/>
    <n v="9332.19"/>
    <s v="29-04-2024"/>
  </r>
  <r>
    <n v="1488"/>
    <x v="2"/>
    <x v="0"/>
    <n v="17856.75"/>
    <s v="18-07-2024"/>
  </r>
  <r>
    <n v="1489"/>
    <x v="1"/>
    <x v="3"/>
    <n v="20911.34"/>
    <s v="10-11-2024"/>
  </r>
  <r>
    <n v="1490"/>
    <x v="2"/>
    <x v="1"/>
    <n v="52570.23"/>
    <s v="13-01-2024"/>
  </r>
  <r>
    <n v="1491"/>
    <x v="5"/>
    <x v="0"/>
    <n v="33705.910000000003"/>
    <s v="29-09-2024"/>
  </r>
  <r>
    <n v="1492"/>
    <x v="5"/>
    <x v="0"/>
    <n v="55546.83"/>
    <s v="20-04-2024"/>
  </r>
  <r>
    <n v="1493"/>
    <x v="0"/>
    <x v="3"/>
    <n v="26369.13"/>
    <s v="12-10-2024"/>
  </r>
  <r>
    <n v="1494"/>
    <x v="1"/>
    <x v="1"/>
    <n v="30435.807390000002"/>
    <s v="28-05-2024"/>
  </r>
  <r>
    <n v="1495"/>
    <x v="0"/>
    <x v="0"/>
    <n v="46639.61"/>
    <s v="22-02-2024"/>
  </r>
  <r>
    <n v="1496"/>
    <x v="1"/>
    <x v="1"/>
    <n v="10480.1"/>
    <s v="14-08-2024"/>
  </r>
  <r>
    <n v="1497"/>
    <x v="2"/>
    <x v="0"/>
    <n v="12159.21"/>
    <s v="03-06-2024"/>
  </r>
  <r>
    <n v="1498"/>
    <x v="0"/>
    <x v="1"/>
    <n v="8403.69"/>
    <s v="29-09-2024"/>
  </r>
  <r>
    <n v="1499"/>
    <x v="1"/>
    <x v="2"/>
    <n v="22587.26"/>
    <s v="11-04-2024"/>
  </r>
  <r>
    <n v="1500"/>
    <x v="1"/>
    <x v="1"/>
    <n v="21359.94"/>
    <s v="31-10-2024"/>
  </r>
  <r>
    <n v="1501"/>
    <x v="0"/>
    <x v="2"/>
    <n v="12346.28"/>
    <s v="28-01-2024"/>
  </r>
  <r>
    <n v="1502"/>
    <x v="3"/>
    <x v="3"/>
    <n v="57838.26"/>
    <s v="03-11-2024"/>
  </r>
  <r>
    <n v="1503"/>
    <x v="0"/>
    <x v="1"/>
    <n v="9393.06"/>
    <s v="02-07-2024"/>
  </r>
  <r>
    <n v="1504"/>
    <x v="0"/>
    <x v="3"/>
    <n v="22978.03"/>
    <s v="16-05-2024"/>
  </r>
  <r>
    <n v="1505"/>
    <x v="5"/>
    <x v="2"/>
    <n v="54880.73"/>
    <s v="07-03-2024"/>
  </r>
  <r>
    <n v="1506"/>
    <x v="0"/>
    <x v="3"/>
    <n v="35095.58"/>
    <s v="18-11-2024"/>
  </r>
  <r>
    <n v="1507"/>
    <x v="2"/>
    <x v="2"/>
    <n v="52032.79"/>
    <s v="13-02-2024"/>
  </r>
  <r>
    <n v="1508"/>
    <x v="5"/>
    <x v="2"/>
    <n v="41772.29"/>
    <s v="08-05-2024"/>
  </r>
  <r>
    <n v="1509"/>
    <x v="3"/>
    <x v="0"/>
    <n v="11227.24"/>
    <s v="20-10-2024"/>
  </r>
  <r>
    <n v="1510"/>
    <x v="0"/>
    <x v="2"/>
    <n v="24017.09"/>
    <s v="10-03-2024"/>
  </r>
  <r>
    <n v="1511"/>
    <x v="2"/>
    <x v="2"/>
    <n v="34429.71"/>
    <s v="30-05-2024"/>
  </r>
  <r>
    <n v="1512"/>
    <x v="0"/>
    <x v="3"/>
    <n v="47019.31"/>
    <s v="24-08-2024"/>
  </r>
  <r>
    <n v="1513"/>
    <x v="3"/>
    <x v="2"/>
    <n v="53846.18"/>
    <s v="02-01-2024"/>
  </r>
  <r>
    <n v="1514"/>
    <x v="5"/>
    <x v="1"/>
    <n v="34510.480000000003"/>
    <s v="07-08-2024"/>
  </r>
  <r>
    <n v="1515"/>
    <x v="1"/>
    <x v="3"/>
    <n v="4113.1499999999996"/>
    <s v="16-03-2024"/>
  </r>
  <r>
    <n v="1516"/>
    <x v="3"/>
    <x v="1"/>
    <n v="53966.87"/>
    <s v="30-11-2024"/>
  </r>
  <r>
    <n v="1517"/>
    <x v="3"/>
    <x v="3"/>
    <n v="13334.5"/>
    <s v="24-05-2024"/>
  </r>
  <r>
    <n v="1518"/>
    <x v="0"/>
    <x v="0"/>
    <n v="35011.870000000003"/>
    <s v="09-10-2024"/>
  </r>
  <r>
    <n v="1519"/>
    <x v="4"/>
    <x v="2"/>
    <n v="25824.91"/>
    <s v="26-01-2024"/>
  </r>
  <r>
    <n v="1520"/>
    <x v="5"/>
    <x v="2"/>
    <n v="55758.01"/>
    <s v="13-01-2024"/>
  </r>
  <r>
    <n v="1521"/>
    <x v="2"/>
    <x v="1"/>
    <n v="30435.807390000002"/>
    <s v="02-12-2024"/>
  </r>
  <r>
    <n v="1522"/>
    <x v="5"/>
    <x v="0"/>
    <n v="26852.43"/>
    <s v="22-11-2024"/>
  </r>
  <r>
    <n v="1523"/>
    <x v="2"/>
    <x v="0"/>
    <n v="39831.43"/>
    <s v="26-08-2024"/>
  </r>
  <r>
    <n v="1524"/>
    <x v="4"/>
    <x v="2"/>
    <n v="13985.23"/>
    <s v="17-12-2024"/>
  </r>
  <r>
    <n v="1525"/>
    <x v="5"/>
    <x v="1"/>
    <n v="14006.31"/>
    <s v="20-09-2024"/>
  </r>
  <r>
    <n v="1526"/>
    <x v="3"/>
    <x v="3"/>
    <n v="6391.07"/>
    <s v="17-08-2024"/>
  </r>
  <r>
    <n v="1527"/>
    <x v="5"/>
    <x v="0"/>
    <n v="50142.85"/>
    <s v="01-05-2024"/>
  </r>
  <r>
    <n v="1528"/>
    <x v="5"/>
    <x v="1"/>
    <n v="15720.68"/>
    <s v="05-04-2024"/>
  </r>
  <r>
    <n v="1529"/>
    <x v="5"/>
    <x v="0"/>
    <n v="49880.800000000003"/>
    <s v="25-10-2024"/>
  </r>
  <r>
    <n v="1530"/>
    <x v="2"/>
    <x v="3"/>
    <n v="48520.37"/>
    <s v="22-01-2024"/>
  </r>
  <r>
    <n v="1531"/>
    <x v="1"/>
    <x v="1"/>
    <n v="59859.75"/>
    <s v="16-03-2024"/>
  </r>
  <r>
    <n v="1532"/>
    <x v="0"/>
    <x v="2"/>
    <n v="14137.89"/>
    <s v="16-02-2024"/>
  </r>
  <r>
    <n v="1533"/>
    <x v="3"/>
    <x v="1"/>
    <n v="48035.45"/>
    <s v="09-11-2024"/>
  </r>
  <r>
    <n v="1534"/>
    <x v="3"/>
    <x v="3"/>
    <n v="14864.66"/>
    <s v="25-03-2024"/>
  </r>
  <r>
    <n v="1535"/>
    <x v="2"/>
    <x v="0"/>
    <n v="25758.02"/>
    <s v="23-02-2024"/>
  </r>
  <r>
    <n v="1536"/>
    <x v="4"/>
    <x v="0"/>
    <n v="56858.61"/>
    <s v="29-12-2024"/>
  </r>
  <r>
    <n v="1537"/>
    <x v="0"/>
    <x v="3"/>
    <n v="30435.807390000002"/>
    <s v="10-11-2024"/>
  </r>
  <r>
    <n v="1538"/>
    <x v="3"/>
    <x v="3"/>
    <n v="6498.57"/>
    <s v="20-05-2024"/>
  </r>
  <r>
    <n v="1539"/>
    <x v="0"/>
    <x v="2"/>
    <n v="6626.29"/>
    <s v="10-10-2024"/>
  </r>
  <r>
    <n v="1540"/>
    <x v="1"/>
    <x v="1"/>
    <n v="40104.980000000003"/>
    <s v="28-06-2024"/>
  </r>
  <r>
    <n v="1541"/>
    <x v="3"/>
    <x v="2"/>
    <n v="34747.760000000002"/>
    <s v="04-03-2024"/>
  </r>
  <r>
    <n v="1542"/>
    <x v="0"/>
    <x v="0"/>
    <n v="25055.23"/>
    <s v="11-08-2024"/>
  </r>
  <r>
    <n v="1543"/>
    <x v="5"/>
    <x v="3"/>
    <n v="38848.76"/>
    <s v="08-08-2024"/>
  </r>
  <r>
    <n v="1544"/>
    <x v="0"/>
    <x v="1"/>
    <n v="52631.96"/>
    <s v="30-11-2024"/>
  </r>
  <r>
    <n v="1545"/>
    <x v="3"/>
    <x v="0"/>
    <n v="22268"/>
    <s v="19-11-2024"/>
  </r>
  <r>
    <n v="1546"/>
    <x v="5"/>
    <x v="1"/>
    <n v="58659.519999999997"/>
    <s v="07-06-2024"/>
  </r>
  <r>
    <n v="1547"/>
    <x v="0"/>
    <x v="2"/>
    <n v="25260.240000000002"/>
    <s v="09-05-2024"/>
  </r>
  <r>
    <n v="1548"/>
    <x v="5"/>
    <x v="0"/>
    <n v="17457.349999999999"/>
    <s v="06-12-2024"/>
  </r>
  <r>
    <n v="1549"/>
    <x v="4"/>
    <x v="1"/>
    <n v="18349.98"/>
    <s v="29-06-2024"/>
  </r>
  <r>
    <n v="1550"/>
    <x v="1"/>
    <x v="2"/>
    <n v="40756.49"/>
    <s v="13-07-2024"/>
  </r>
  <r>
    <n v="1551"/>
    <x v="1"/>
    <x v="0"/>
    <n v="26314.68"/>
    <s v="14-06-2024"/>
  </r>
  <r>
    <n v="1354"/>
    <x v="2"/>
    <x v="2"/>
    <n v="40007.300000000003"/>
    <s v="11-02-2024"/>
  </r>
  <r>
    <n v="1553"/>
    <x v="1"/>
    <x v="0"/>
    <n v="7693.01"/>
    <s v="01-12-2024"/>
  </r>
  <r>
    <n v="1554"/>
    <x v="2"/>
    <x v="2"/>
    <n v="30435.807390000002"/>
    <s v="17-12-2024"/>
  </r>
  <r>
    <n v="1555"/>
    <x v="1"/>
    <x v="1"/>
    <n v="30063.34"/>
    <s v="07-06-2024"/>
  </r>
  <r>
    <n v="1556"/>
    <x v="3"/>
    <x v="1"/>
    <n v="30435.807390000002"/>
    <s v="19-04-2024"/>
  </r>
  <r>
    <n v="1557"/>
    <x v="0"/>
    <x v="3"/>
    <n v="9453.61"/>
    <s v="05-02-2024"/>
  </r>
  <r>
    <n v="1558"/>
    <x v="2"/>
    <x v="3"/>
    <n v="50414.32"/>
    <s v="27-05-2024"/>
  </r>
  <r>
    <n v="1033"/>
    <x v="2"/>
    <x v="3"/>
    <n v="38388.980000000003"/>
    <s v="18-08-2024"/>
  </r>
  <r>
    <n v="1560"/>
    <x v="0"/>
    <x v="2"/>
    <n v="21221.119999999999"/>
    <s v="14-10-2024"/>
  </r>
  <r>
    <n v="1561"/>
    <x v="0"/>
    <x v="3"/>
    <n v="39049.269999999997"/>
    <s v="12-09-2024"/>
  </r>
  <r>
    <n v="1369"/>
    <x v="0"/>
    <x v="2"/>
    <n v="1760.95"/>
    <s v="14-10-2024"/>
  </r>
  <r>
    <n v="1563"/>
    <x v="1"/>
    <x v="2"/>
    <n v="23418.77"/>
    <s v="20-11-2024"/>
  </r>
  <r>
    <n v="1564"/>
    <x v="3"/>
    <x v="0"/>
    <n v="59252.83"/>
    <s v="09-12-2024"/>
  </r>
  <r>
    <n v="1565"/>
    <x v="2"/>
    <x v="0"/>
    <n v="29111.22"/>
    <s v="08-05-2024"/>
  </r>
  <r>
    <n v="1566"/>
    <x v="1"/>
    <x v="2"/>
    <n v="8571.23"/>
    <s v="29-12-2024"/>
  </r>
  <r>
    <n v="1567"/>
    <x v="0"/>
    <x v="3"/>
    <n v="37531.19"/>
    <s v="20-05-2024"/>
  </r>
  <r>
    <n v="1568"/>
    <x v="5"/>
    <x v="2"/>
    <n v="14335.96"/>
    <s v="18-07-2024"/>
  </r>
  <r>
    <n v="1569"/>
    <x v="0"/>
    <x v="0"/>
    <n v="4364.59"/>
    <s v="08-02-2024"/>
  </r>
  <r>
    <n v="1570"/>
    <x v="4"/>
    <x v="2"/>
    <n v="31869.57"/>
    <s v="01-10-2024"/>
  </r>
  <r>
    <n v="1571"/>
    <x v="5"/>
    <x v="2"/>
    <n v="35404.68"/>
    <s v="19-09-2024"/>
  </r>
  <r>
    <n v="1572"/>
    <x v="3"/>
    <x v="0"/>
    <n v="54769.01"/>
    <s v="15-02-2024"/>
  </r>
  <r>
    <n v="1573"/>
    <x v="0"/>
    <x v="3"/>
    <n v="38059.050000000003"/>
    <s v="31-10-2024"/>
  </r>
  <r>
    <n v="1574"/>
    <x v="1"/>
    <x v="0"/>
    <n v="35204.14"/>
    <s v="08-11-2024"/>
  </r>
  <r>
    <n v="1575"/>
    <x v="2"/>
    <x v="1"/>
    <n v="59867.21"/>
    <s v="26-07-2024"/>
  </r>
  <r>
    <n v="1576"/>
    <x v="3"/>
    <x v="3"/>
    <n v="1011.01"/>
    <s v="16-02-2024"/>
  </r>
  <r>
    <n v="1577"/>
    <x v="0"/>
    <x v="2"/>
    <n v="8985.9699999999993"/>
    <s v="17-06-2024"/>
  </r>
  <r>
    <n v="1578"/>
    <x v="2"/>
    <x v="2"/>
    <n v="18544.330000000002"/>
    <s v="23-08-2024"/>
  </r>
  <r>
    <n v="1579"/>
    <x v="3"/>
    <x v="3"/>
    <n v="36118.550000000003"/>
    <s v="07-07-2024"/>
  </r>
  <r>
    <n v="1580"/>
    <x v="2"/>
    <x v="2"/>
    <n v="54573.09"/>
    <s v="25-05-2024"/>
  </r>
  <r>
    <n v="1581"/>
    <x v="5"/>
    <x v="2"/>
    <n v="37249.599999999999"/>
    <s v="08-02-2024"/>
  </r>
  <r>
    <n v="1582"/>
    <x v="1"/>
    <x v="0"/>
    <n v="38175.49"/>
    <s v="09-08-2024"/>
  </r>
  <r>
    <n v="1583"/>
    <x v="5"/>
    <x v="0"/>
    <n v="20215.400000000001"/>
    <s v="10-03-2024"/>
  </r>
  <r>
    <n v="1584"/>
    <x v="5"/>
    <x v="3"/>
    <n v="30435.807390000002"/>
    <s v="02-02-2024"/>
  </r>
  <r>
    <n v="1585"/>
    <x v="0"/>
    <x v="2"/>
    <n v="1761.53"/>
    <s v="29-01-2024"/>
  </r>
  <r>
    <n v="1586"/>
    <x v="3"/>
    <x v="0"/>
    <n v="4219.3599999999997"/>
    <s v="15-09-2024"/>
  </r>
  <r>
    <n v="1587"/>
    <x v="3"/>
    <x v="3"/>
    <n v="12616.38"/>
    <s v="11-01-2024"/>
  </r>
  <r>
    <n v="1588"/>
    <x v="3"/>
    <x v="1"/>
    <n v="38256.07"/>
    <s v="25-01-2024"/>
  </r>
  <r>
    <n v="1589"/>
    <x v="1"/>
    <x v="0"/>
    <n v="1845.52"/>
    <s v="21-09-2024"/>
  </r>
  <r>
    <n v="1590"/>
    <x v="0"/>
    <x v="1"/>
    <n v="50397"/>
    <s v="07-09-2024"/>
  </r>
  <r>
    <n v="1591"/>
    <x v="2"/>
    <x v="3"/>
    <n v="23815.72"/>
    <s v="06-01-2024"/>
  </r>
  <r>
    <n v="1592"/>
    <x v="2"/>
    <x v="1"/>
    <n v="28991.66"/>
    <s v="27-06-2024"/>
  </r>
  <r>
    <n v="1593"/>
    <x v="2"/>
    <x v="3"/>
    <n v="33914.550000000003"/>
    <s v="28-11-2024"/>
  </r>
  <r>
    <n v="1594"/>
    <x v="3"/>
    <x v="3"/>
    <n v="31969.1"/>
    <s v="01-01-2024"/>
  </r>
  <r>
    <n v="1595"/>
    <x v="0"/>
    <x v="3"/>
    <n v="47992.58"/>
    <s v="29-11-2024"/>
  </r>
  <r>
    <n v="1596"/>
    <x v="0"/>
    <x v="0"/>
    <n v="9410.84"/>
    <s v="20-05-2024"/>
  </r>
  <r>
    <n v="1597"/>
    <x v="0"/>
    <x v="1"/>
    <n v="20537.64"/>
    <s v="08-06-2024"/>
  </r>
  <r>
    <n v="1598"/>
    <x v="3"/>
    <x v="3"/>
    <n v="57446.51"/>
    <s v="06-01-2024"/>
  </r>
  <r>
    <n v="1599"/>
    <x v="0"/>
    <x v="1"/>
    <n v="48053.33"/>
    <s v="06-03-2024"/>
  </r>
  <r>
    <n v="1600"/>
    <x v="2"/>
    <x v="0"/>
    <n v="39200.019999999997"/>
    <s v="26-05-2024"/>
  </r>
  <r>
    <n v="1601"/>
    <x v="3"/>
    <x v="2"/>
    <n v="25170.7"/>
    <s v="01-08-2024"/>
  </r>
  <r>
    <n v="1602"/>
    <x v="3"/>
    <x v="3"/>
    <n v="35123.230000000003"/>
    <s v="28-01-2024"/>
  </r>
  <r>
    <n v="1603"/>
    <x v="0"/>
    <x v="1"/>
    <n v="33366.720000000001"/>
    <s v="28-11-2024"/>
  </r>
  <r>
    <n v="1604"/>
    <x v="2"/>
    <x v="1"/>
    <n v="1653.63"/>
    <s v="01-08-2024"/>
  </r>
  <r>
    <n v="1605"/>
    <x v="0"/>
    <x v="2"/>
    <n v="29544.35"/>
    <s v="17-12-2024"/>
  </r>
  <r>
    <n v="1606"/>
    <x v="0"/>
    <x v="0"/>
    <n v="34646.93"/>
    <s v="28-03-2024"/>
  </r>
  <r>
    <n v="1607"/>
    <x v="1"/>
    <x v="3"/>
    <n v="42002.23"/>
    <s v="18-04-2024"/>
  </r>
  <r>
    <n v="1608"/>
    <x v="0"/>
    <x v="0"/>
    <n v="54805.62"/>
    <s v="01-04-2024"/>
  </r>
  <r>
    <n v="1609"/>
    <x v="4"/>
    <x v="2"/>
    <n v="44341.89"/>
    <s v="15-03-2024"/>
  </r>
  <r>
    <n v="1610"/>
    <x v="2"/>
    <x v="1"/>
    <n v="33481.370000000003"/>
    <s v="09-12-2024"/>
  </r>
  <r>
    <n v="1611"/>
    <x v="4"/>
    <x v="2"/>
    <n v="53548.85"/>
    <s v="13-08-2024"/>
  </r>
  <r>
    <n v="1612"/>
    <x v="3"/>
    <x v="1"/>
    <n v="10712.61"/>
    <s v="01-12-2024"/>
  </r>
  <r>
    <n v="1613"/>
    <x v="2"/>
    <x v="2"/>
    <n v="26163.49"/>
    <s v="17-12-2024"/>
  </r>
  <r>
    <n v="1614"/>
    <x v="1"/>
    <x v="0"/>
    <n v="1861.93"/>
    <s v="24-11-2024"/>
  </r>
  <r>
    <n v="1615"/>
    <x v="3"/>
    <x v="0"/>
    <n v="20634.07"/>
    <s v="03-11-2024"/>
  </r>
  <r>
    <n v="1616"/>
    <x v="5"/>
    <x v="3"/>
    <n v="30435.807390000002"/>
    <s v="18-04-2024"/>
  </r>
  <r>
    <n v="1617"/>
    <x v="4"/>
    <x v="0"/>
    <n v="16115.3"/>
    <s v="08-04-2024"/>
  </r>
  <r>
    <n v="1618"/>
    <x v="1"/>
    <x v="3"/>
    <n v="3377.05"/>
    <s v="17-07-2024"/>
  </r>
  <r>
    <n v="1619"/>
    <x v="5"/>
    <x v="1"/>
    <n v="18899.75"/>
    <s v="27-06-2024"/>
  </r>
  <r>
    <n v="1620"/>
    <x v="2"/>
    <x v="3"/>
    <n v="57947.37"/>
    <s v="01-05-2024"/>
  </r>
  <r>
    <n v="1621"/>
    <x v="5"/>
    <x v="0"/>
    <n v="44967.67"/>
    <s v="01-08-2024"/>
  </r>
  <r>
    <n v="1622"/>
    <x v="2"/>
    <x v="2"/>
    <n v="45325.46"/>
    <s v="04-02-2024"/>
  </r>
  <r>
    <n v="1623"/>
    <x v="3"/>
    <x v="3"/>
    <n v="29684.25"/>
    <s v="19-08-2024"/>
  </r>
  <r>
    <n v="1624"/>
    <x v="2"/>
    <x v="2"/>
    <n v="52407.6"/>
    <s v="10-01-2024"/>
  </r>
  <r>
    <n v="1625"/>
    <x v="2"/>
    <x v="2"/>
    <n v="30534.18"/>
    <s v="31-05-2024"/>
  </r>
  <r>
    <n v="1626"/>
    <x v="0"/>
    <x v="2"/>
    <n v="1303.24"/>
    <s v="30-03-2024"/>
  </r>
  <r>
    <n v="1627"/>
    <x v="1"/>
    <x v="1"/>
    <n v="18077.009999999998"/>
    <s v="01-08-2024"/>
  </r>
  <r>
    <n v="1628"/>
    <x v="3"/>
    <x v="0"/>
    <n v="52509.55"/>
    <s v="02-09-2024"/>
  </r>
  <r>
    <n v="1629"/>
    <x v="1"/>
    <x v="3"/>
    <n v="49412.58"/>
    <s v="24-10-2024"/>
  </r>
  <r>
    <n v="1630"/>
    <x v="5"/>
    <x v="3"/>
    <n v="49893.83"/>
    <s v="11-08-2024"/>
  </r>
  <r>
    <n v="1631"/>
    <x v="1"/>
    <x v="3"/>
    <n v="9377.66"/>
    <s v="24-01-2024"/>
  </r>
  <r>
    <n v="1632"/>
    <x v="2"/>
    <x v="1"/>
    <n v="21637.97"/>
    <s v="19-02-2024"/>
  </r>
  <r>
    <n v="1633"/>
    <x v="2"/>
    <x v="0"/>
    <n v="24194.19"/>
    <s v="12-09-2024"/>
  </r>
  <r>
    <n v="1634"/>
    <x v="3"/>
    <x v="2"/>
    <n v="21301.41"/>
    <s v="07-04-2024"/>
  </r>
  <r>
    <n v="1635"/>
    <x v="4"/>
    <x v="0"/>
    <n v="4724.66"/>
    <s v="12-12-2024"/>
  </r>
  <r>
    <n v="1636"/>
    <x v="3"/>
    <x v="1"/>
    <n v="25909.34"/>
    <s v="01-09-2024"/>
  </r>
  <r>
    <n v="1637"/>
    <x v="3"/>
    <x v="3"/>
    <n v="3717.72"/>
    <s v="11-05-2024"/>
  </r>
  <r>
    <n v="1638"/>
    <x v="3"/>
    <x v="2"/>
    <n v="21355.99"/>
    <s v="14-04-2024"/>
  </r>
  <r>
    <n v="1639"/>
    <x v="3"/>
    <x v="1"/>
    <n v="17602.189999999999"/>
    <s v="10-06-2024"/>
  </r>
  <r>
    <n v="1640"/>
    <x v="5"/>
    <x v="2"/>
    <n v="26401.61"/>
    <s v="03-08-2024"/>
  </r>
  <r>
    <n v="1641"/>
    <x v="1"/>
    <x v="2"/>
    <n v="45213.36"/>
    <s v="06-07-2024"/>
  </r>
  <r>
    <n v="1642"/>
    <x v="0"/>
    <x v="0"/>
    <n v="48341.71"/>
    <s v="22-04-2024"/>
  </r>
  <r>
    <n v="1643"/>
    <x v="3"/>
    <x v="2"/>
    <n v="30435.807390000002"/>
    <s v="06-09-2024"/>
  </r>
  <r>
    <n v="1644"/>
    <x v="2"/>
    <x v="1"/>
    <n v="47167.51"/>
    <s v="08-03-2024"/>
  </r>
  <r>
    <n v="1645"/>
    <x v="3"/>
    <x v="3"/>
    <n v="30435.807390000002"/>
    <s v="27-11-2024"/>
  </r>
  <r>
    <n v="1345"/>
    <x v="3"/>
    <x v="3"/>
    <n v="57132.41"/>
    <s v="24-01-2024"/>
  </r>
  <r>
    <n v="1647"/>
    <x v="3"/>
    <x v="2"/>
    <n v="26880.2"/>
    <s v="30-07-2024"/>
  </r>
  <r>
    <n v="1648"/>
    <x v="5"/>
    <x v="1"/>
    <n v="59633.25"/>
    <s v="20-10-2024"/>
  </r>
  <r>
    <n v="1649"/>
    <x v="5"/>
    <x v="0"/>
    <n v="5161.6000000000004"/>
    <s v="17-10-2024"/>
  </r>
  <r>
    <n v="1650"/>
    <x v="1"/>
    <x v="0"/>
    <n v="44534.94"/>
    <s v="16-01-2024"/>
  </r>
  <r>
    <n v="1651"/>
    <x v="4"/>
    <x v="2"/>
    <n v="56152.94"/>
    <s v="19-06-2024"/>
  </r>
  <r>
    <n v="1652"/>
    <x v="5"/>
    <x v="3"/>
    <n v="52826.54"/>
    <s v="24-07-2024"/>
  </r>
  <r>
    <n v="1653"/>
    <x v="1"/>
    <x v="2"/>
    <n v="47989.99"/>
    <s v="14-10-2024"/>
  </r>
  <r>
    <n v="1654"/>
    <x v="5"/>
    <x v="1"/>
    <n v="11971.73"/>
    <s v="23-01-2024"/>
  </r>
  <r>
    <n v="1655"/>
    <x v="0"/>
    <x v="0"/>
    <n v="30435.807390000002"/>
    <s v="18-04-2024"/>
  </r>
  <r>
    <n v="1656"/>
    <x v="3"/>
    <x v="2"/>
    <n v="37594.239999999998"/>
    <s v="26-07-2024"/>
  </r>
  <r>
    <n v="1657"/>
    <x v="1"/>
    <x v="0"/>
    <n v="55141.19"/>
    <s v="03-01-2024"/>
  </r>
  <r>
    <n v="1658"/>
    <x v="2"/>
    <x v="2"/>
    <n v="55652.19"/>
    <s v="10-01-2024"/>
  </r>
  <r>
    <n v="1659"/>
    <x v="5"/>
    <x v="3"/>
    <n v="12604.6"/>
    <s v="09-07-2024"/>
  </r>
  <r>
    <n v="1660"/>
    <x v="5"/>
    <x v="3"/>
    <n v="43047.27"/>
    <s v="15-11-2024"/>
  </r>
  <r>
    <n v="1661"/>
    <x v="2"/>
    <x v="0"/>
    <n v="41348.339999999997"/>
    <s v="04-10-2024"/>
  </r>
  <r>
    <n v="1662"/>
    <x v="3"/>
    <x v="2"/>
    <n v="6137.2"/>
    <s v="10-02-2024"/>
  </r>
  <r>
    <n v="1663"/>
    <x v="2"/>
    <x v="3"/>
    <n v="1356.78"/>
    <s v="13-11-2024"/>
  </r>
  <r>
    <n v="1664"/>
    <x v="0"/>
    <x v="2"/>
    <n v="15172.95"/>
    <s v="01-07-2024"/>
  </r>
  <r>
    <n v="1665"/>
    <x v="3"/>
    <x v="2"/>
    <n v="36363.01"/>
    <s v="17-01-2024"/>
  </r>
  <r>
    <n v="1666"/>
    <x v="0"/>
    <x v="0"/>
    <n v="52972.81"/>
    <s v="21-09-2024"/>
  </r>
  <r>
    <n v="1667"/>
    <x v="1"/>
    <x v="3"/>
    <n v="41793.550000000003"/>
    <s v="22-06-2024"/>
  </r>
  <r>
    <n v="1668"/>
    <x v="3"/>
    <x v="3"/>
    <n v="45968.3"/>
    <s v="25-06-2024"/>
  </r>
  <r>
    <n v="1669"/>
    <x v="2"/>
    <x v="3"/>
    <n v="36481.660000000003"/>
    <s v="15-02-2024"/>
  </r>
  <r>
    <n v="1670"/>
    <x v="5"/>
    <x v="1"/>
    <n v="40751.620000000003"/>
    <s v="18-07-2024"/>
  </r>
  <r>
    <n v="1671"/>
    <x v="5"/>
    <x v="3"/>
    <n v="13039.8"/>
    <s v="17-07-2024"/>
  </r>
  <r>
    <n v="1672"/>
    <x v="2"/>
    <x v="3"/>
    <n v="37175.96"/>
    <s v="17-04-2024"/>
  </r>
  <r>
    <n v="1673"/>
    <x v="2"/>
    <x v="2"/>
    <n v="8283.5400000000009"/>
    <s v="30-10-2024"/>
  </r>
  <r>
    <n v="1674"/>
    <x v="1"/>
    <x v="3"/>
    <n v="50506.879999999997"/>
    <s v="09-05-2024"/>
  </r>
  <r>
    <n v="1675"/>
    <x v="5"/>
    <x v="2"/>
    <n v="58549.21"/>
    <s v="28-09-2024"/>
  </r>
  <r>
    <n v="1676"/>
    <x v="0"/>
    <x v="1"/>
    <n v="50684.3"/>
    <s v="02-09-2024"/>
  </r>
  <r>
    <n v="1677"/>
    <x v="5"/>
    <x v="1"/>
    <n v="6199.93"/>
    <s v="30-10-2024"/>
  </r>
  <r>
    <n v="1678"/>
    <x v="0"/>
    <x v="3"/>
    <n v="8027.29"/>
    <s v="02-04-2024"/>
  </r>
  <r>
    <n v="1679"/>
    <x v="2"/>
    <x v="1"/>
    <n v="55787.22"/>
    <s v="04-02-2024"/>
  </r>
  <r>
    <n v="1680"/>
    <x v="5"/>
    <x v="0"/>
    <n v="49476.85"/>
    <s v="24-05-2024"/>
  </r>
  <r>
    <n v="1681"/>
    <x v="0"/>
    <x v="3"/>
    <n v="42994.9"/>
    <s v="30-04-2024"/>
  </r>
  <r>
    <n v="1682"/>
    <x v="3"/>
    <x v="2"/>
    <n v="40334.449999999997"/>
    <s v="19-05-2024"/>
  </r>
  <r>
    <n v="1683"/>
    <x v="5"/>
    <x v="2"/>
    <n v="11960.84"/>
    <s v="27-12-2024"/>
  </r>
  <r>
    <n v="1684"/>
    <x v="5"/>
    <x v="0"/>
    <n v="56039.19"/>
    <s v="03-08-2024"/>
  </r>
  <r>
    <n v="1685"/>
    <x v="5"/>
    <x v="2"/>
    <n v="51280.53"/>
    <s v="24-05-2024"/>
  </r>
  <r>
    <n v="1686"/>
    <x v="3"/>
    <x v="0"/>
    <n v="17599.689999999999"/>
    <s v="08-02-2024"/>
  </r>
  <r>
    <n v="1687"/>
    <x v="1"/>
    <x v="2"/>
    <n v="12502.54"/>
    <s v="19-04-2024"/>
  </r>
  <r>
    <n v="1688"/>
    <x v="1"/>
    <x v="1"/>
    <n v="26072.26"/>
    <s v="08-12-2024"/>
  </r>
  <r>
    <n v="1689"/>
    <x v="0"/>
    <x v="2"/>
    <n v="25881.040000000001"/>
    <s v="13-08-2024"/>
  </r>
  <r>
    <n v="1690"/>
    <x v="3"/>
    <x v="0"/>
    <n v="53203.67"/>
    <s v="04-11-2024"/>
  </r>
  <r>
    <n v="1691"/>
    <x v="1"/>
    <x v="2"/>
    <n v="36446.74"/>
    <s v="22-10-2024"/>
  </r>
  <r>
    <n v="1692"/>
    <x v="3"/>
    <x v="2"/>
    <n v="11015.79"/>
    <s v="19-05-2024"/>
  </r>
  <r>
    <n v="1693"/>
    <x v="2"/>
    <x v="1"/>
    <n v="15734.91"/>
    <s v="11-10-2024"/>
  </r>
  <r>
    <n v="1694"/>
    <x v="0"/>
    <x v="3"/>
    <n v="44862.68"/>
    <s v="22-03-2024"/>
  </r>
  <r>
    <n v="1695"/>
    <x v="1"/>
    <x v="2"/>
    <n v="8440.7999999999993"/>
    <s v="10-09-2024"/>
  </r>
  <r>
    <n v="1696"/>
    <x v="3"/>
    <x v="1"/>
    <n v="8745.99"/>
    <s v="26-06-2024"/>
  </r>
  <r>
    <n v="1697"/>
    <x v="2"/>
    <x v="1"/>
    <n v="10136.6"/>
    <s v="16-07-2024"/>
  </r>
  <r>
    <n v="1698"/>
    <x v="4"/>
    <x v="3"/>
    <n v="9729.5400000000009"/>
    <s v="06-08-2024"/>
  </r>
  <r>
    <n v="1699"/>
    <x v="0"/>
    <x v="1"/>
    <n v="48705.66"/>
    <s v="27-12-2024"/>
  </r>
  <r>
    <n v="1700"/>
    <x v="5"/>
    <x v="0"/>
    <n v="32763.42"/>
    <s v="31-08-2024"/>
  </r>
  <r>
    <n v="1701"/>
    <x v="0"/>
    <x v="2"/>
    <n v="40920.42"/>
    <s v="18-03-2024"/>
  </r>
  <r>
    <n v="1702"/>
    <x v="3"/>
    <x v="3"/>
    <n v="55496.23"/>
    <s v="02-11-2024"/>
  </r>
  <r>
    <n v="1703"/>
    <x v="2"/>
    <x v="1"/>
    <n v="17683.16"/>
    <s v="04-01-2024"/>
  </r>
  <r>
    <n v="1704"/>
    <x v="0"/>
    <x v="2"/>
    <n v="38782.46"/>
    <s v="04-11-2024"/>
  </r>
  <r>
    <n v="1705"/>
    <x v="5"/>
    <x v="0"/>
    <n v="24231.55"/>
    <s v="11-09-2024"/>
  </r>
  <r>
    <n v="1706"/>
    <x v="1"/>
    <x v="2"/>
    <n v="10913.18"/>
    <s v="05-08-2024"/>
  </r>
  <r>
    <n v="1707"/>
    <x v="3"/>
    <x v="1"/>
    <n v="1982.97"/>
    <s v="20-10-2024"/>
  </r>
  <r>
    <n v="1708"/>
    <x v="5"/>
    <x v="1"/>
    <n v="8732.4599999999991"/>
    <s v="26-08-2024"/>
  </r>
  <r>
    <n v="1709"/>
    <x v="5"/>
    <x v="1"/>
    <n v="35342.14"/>
    <s v="27-01-2024"/>
  </r>
  <r>
    <n v="1710"/>
    <x v="5"/>
    <x v="2"/>
    <n v="51914.62"/>
    <s v="03-05-2024"/>
  </r>
  <r>
    <n v="1711"/>
    <x v="5"/>
    <x v="2"/>
    <n v="49761.41"/>
    <s v="24-03-2024"/>
  </r>
  <r>
    <n v="1712"/>
    <x v="2"/>
    <x v="0"/>
    <n v="51613.61"/>
    <s v="14-02-2024"/>
  </r>
  <r>
    <n v="1713"/>
    <x v="5"/>
    <x v="1"/>
    <n v="14421.41"/>
    <s v="26-04-2024"/>
  </r>
  <r>
    <n v="1714"/>
    <x v="0"/>
    <x v="0"/>
    <n v="53577.27"/>
    <s v="10-01-2024"/>
  </r>
  <r>
    <n v="1715"/>
    <x v="3"/>
    <x v="3"/>
    <n v="11873.78"/>
    <s v="31-07-2024"/>
  </r>
  <r>
    <n v="1716"/>
    <x v="4"/>
    <x v="1"/>
    <n v="56213.74"/>
    <s v="19-06-2024"/>
  </r>
  <r>
    <n v="1717"/>
    <x v="4"/>
    <x v="0"/>
    <n v="26537.56"/>
    <s v="18-10-2024"/>
  </r>
  <r>
    <n v="1718"/>
    <x v="3"/>
    <x v="0"/>
    <n v="55687.55"/>
    <s v="07-11-2024"/>
  </r>
  <r>
    <n v="1719"/>
    <x v="1"/>
    <x v="3"/>
    <n v="20135.400000000001"/>
    <s v="26-02-2024"/>
  </r>
  <r>
    <n v="1720"/>
    <x v="0"/>
    <x v="2"/>
    <n v="5871.76"/>
    <s v="18-11-2024"/>
  </r>
  <r>
    <n v="1721"/>
    <x v="5"/>
    <x v="3"/>
    <n v="28861.360000000001"/>
    <s v="16-07-2024"/>
  </r>
  <r>
    <n v="1722"/>
    <x v="4"/>
    <x v="2"/>
    <n v="6388.22"/>
    <s v="09-07-2024"/>
  </r>
  <r>
    <n v="1723"/>
    <x v="4"/>
    <x v="1"/>
    <n v="45173.21"/>
    <s v="20-11-2024"/>
  </r>
  <r>
    <n v="1724"/>
    <x v="1"/>
    <x v="2"/>
    <n v="58669.94"/>
    <s v="15-07-2024"/>
  </r>
  <r>
    <n v="1725"/>
    <x v="3"/>
    <x v="3"/>
    <n v="18429.900000000001"/>
    <s v="26-02-2024"/>
  </r>
  <r>
    <n v="1726"/>
    <x v="3"/>
    <x v="0"/>
    <n v="2707.71"/>
    <s v="21-09-2024"/>
  </r>
  <r>
    <n v="1727"/>
    <x v="0"/>
    <x v="2"/>
    <n v="15059.09"/>
    <s v="18-04-2024"/>
  </r>
  <r>
    <n v="1591"/>
    <x v="2"/>
    <x v="1"/>
    <n v="58051.14"/>
    <s v="27-01-2024"/>
  </r>
  <r>
    <n v="1729"/>
    <x v="0"/>
    <x v="1"/>
    <n v="39939.61"/>
    <s v="07-02-2024"/>
  </r>
  <r>
    <n v="1730"/>
    <x v="2"/>
    <x v="2"/>
    <n v="33470.730000000003"/>
    <s v="07-08-2024"/>
  </r>
  <r>
    <n v="1731"/>
    <x v="2"/>
    <x v="1"/>
    <n v="16739.55"/>
    <s v="30-10-2024"/>
  </r>
  <r>
    <n v="1732"/>
    <x v="1"/>
    <x v="3"/>
    <n v="29970.17"/>
    <s v="12-05-2024"/>
  </r>
  <r>
    <n v="1733"/>
    <x v="3"/>
    <x v="0"/>
    <n v="38820.47"/>
    <s v="17-01-2024"/>
  </r>
  <r>
    <n v="1734"/>
    <x v="5"/>
    <x v="2"/>
    <n v="40935.46"/>
    <s v="16-07-2024"/>
  </r>
  <r>
    <n v="1735"/>
    <x v="3"/>
    <x v="2"/>
    <n v="25626.11"/>
    <s v="03-01-2024"/>
  </r>
  <r>
    <n v="1736"/>
    <x v="1"/>
    <x v="1"/>
    <n v="37593.86"/>
    <s v="17-11-2024"/>
  </r>
  <r>
    <n v="1737"/>
    <x v="0"/>
    <x v="2"/>
    <n v="42537.86"/>
    <s v="06-08-2024"/>
  </r>
  <r>
    <n v="1738"/>
    <x v="2"/>
    <x v="2"/>
    <n v="18893.689999999999"/>
    <s v="24-06-2024"/>
  </r>
  <r>
    <n v="1739"/>
    <x v="0"/>
    <x v="1"/>
    <n v="22220.86"/>
    <s v="29-09-2024"/>
  </r>
  <r>
    <n v="1740"/>
    <x v="3"/>
    <x v="3"/>
    <n v="14324.54"/>
    <s v="13-12-2024"/>
  </r>
  <r>
    <n v="1741"/>
    <x v="3"/>
    <x v="3"/>
    <n v="43894.09"/>
    <s v="24-03-2024"/>
  </r>
  <r>
    <n v="1742"/>
    <x v="1"/>
    <x v="2"/>
    <n v="24410.57"/>
    <s v="01-12-2024"/>
  </r>
  <r>
    <n v="1743"/>
    <x v="3"/>
    <x v="3"/>
    <n v="33265.99"/>
    <s v="25-04-2024"/>
  </r>
  <r>
    <n v="1744"/>
    <x v="0"/>
    <x v="2"/>
    <n v="30743.84"/>
    <s v="13-08-2024"/>
  </r>
  <r>
    <n v="1745"/>
    <x v="3"/>
    <x v="0"/>
    <n v="42749.61"/>
    <s v="31-03-2024"/>
  </r>
  <r>
    <n v="1746"/>
    <x v="5"/>
    <x v="0"/>
    <n v="30435.807390000002"/>
    <s v="12-03-2024"/>
  </r>
  <r>
    <n v="1747"/>
    <x v="1"/>
    <x v="0"/>
    <n v="5805.39"/>
    <s v="30-08-2024"/>
  </r>
  <r>
    <n v="1748"/>
    <x v="5"/>
    <x v="2"/>
    <n v="10637.91"/>
    <s v="05-11-2024"/>
  </r>
  <r>
    <n v="1749"/>
    <x v="5"/>
    <x v="2"/>
    <n v="26704.65"/>
    <s v="18-08-2024"/>
  </r>
  <r>
    <n v="1750"/>
    <x v="2"/>
    <x v="0"/>
    <n v="9004.0300000000007"/>
    <s v="22-02-2024"/>
  </r>
  <r>
    <n v="1751"/>
    <x v="5"/>
    <x v="1"/>
    <n v="30912.98"/>
    <s v="26-05-2024"/>
  </r>
  <r>
    <n v="1752"/>
    <x v="2"/>
    <x v="3"/>
    <n v="17468.7"/>
    <s v="11-01-2024"/>
  </r>
  <r>
    <n v="1753"/>
    <x v="0"/>
    <x v="3"/>
    <n v="58560.51"/>
    <s v="31-03-2024"/>
  </r>
  <r>
    <n v="1754"/>
    <x v="2"/>
    <x v="0"/>
    <n v="16050.51"/>
    <s v="07-10-2024"/>
  </r>
  <r>
    <n v="1755"/>
    <x v="0"/>
    <x v="2"/>
    <n v="49677.08"/>
    <s v="21-09-2024"/>
  </r>
  <r>
    <n v="1756"/>
    <x v="1"/>
    <x v="1"/>
    <n v="4897.26"/>
    <s v="21-11-2024"/>
  </r>
  <r>
    <n v="1757"/>
    <x v="5"/>
    <x v="0"/>
    <n v="19108.93"/>
    <s v="26-01-2024"/>
  </r>
  <r>
    <n v="1758"/>
    <x v="4"/>
    <x v="2"/>
    <n v="53559.1"/>
    <s v="26-07-2024"/>
  </r>
  <r>
    <n v="1759"/>
    <x v="3"/>
    <x v="1"/>
    <n v="50491.519999999997"/>
    <s v="20-09-2024"/>
  </r>
  <r>
    <n v="1760"/>
    <x v="2"/>
    <x v="1"/>
    <n v="30435.807390000002"/>
    <s v="04-09-2024"/>
  </r>
  <r>
    <n v="1761"/>
    <x v="0"/>
    <x v="2"/>
    <n v="6389.84"/>
    <s v="02-06-2024"/>
  </r>
  <r>
    <n v="1762"/>
    <x v="0"/>
    <x v="1"/>
    <n v="24398.84"/>
    <s v="02-04-2024"/>
  </r>
  <r>
    <n v="1763"/>
    <x v="1"/>
    <x v="1"/>
    <n v="21627.25"/>
    <s v="31-03-2024"/>
  </r>
  <r>
    <n v="1764"/>
    <x v="2"/>
    <x v="0"/>
    <n v="44759.360000000001"/>
    <s v="11-02-2024"/>
  </r>
  <r>
    <n v="1765"/>
    <x v="0"/>
    <x v="0"/>
    <n v="51657.41"/>
    <s v="08-05-2024"/>
  </r>
  <r>
    <n v="1766"/>
    <x v="3"/>
    <x v="3"/>
    <n v="20017.16"/>
    <s v="22-02-2024"/>
  </r>
  <r>
    <n v="1767"/>
    <x v="1"/>
    <x v="1"/>
    <n v="17881.97"/>
    <s v="05-03-2024"/>
  </r>
  <r>
    <n v="1768"/>
    <x v="4"/>
    <x v="0"/>
    <n v="47546.69"/>
    <s v="06-11-2024"/>
  </r>
  <r>
    <n v="1769"/>
    <x v="0"/>
    <x v="2"/>
    <n v="9510.16"/>
    <s v="04-02-2024"/>
  </r>
  <r>
    <n v="1770"/>
    <x v="1"/>
    <x v="3"/>
    <n v="34861.82"/>
    <s v="23-09-2024"/>
  </r>
  <r>
    <n v="1771"/>
    <x v="0"/>
    <x v="0"/>
    <n v="30435.807390000002"/>
    <s v="12-04-2024"/>
  </r>
  <r>
    <n v="1772"/>
    <x v="1"/>
    <x v="0"/>
    <n v="12603.37"/>
    <s v="24-06-2024"/>
  </r>
  <r>
    <n v="1773"/>
    <x v="5"/>
    <x v="1"/>
    <n v="40932.379999999997"/>
    <s v="01-01-2024"/>
  </r>
  <r>
    <n v="1774"/>
    <x v="0"/>
    <x v="0"/>
    <n v="31282.37"/>
    <s v="20-11-2024"/>
  </r>
  <r>
    <n v="1775"/>
    <x v="5"/>
    <x v="1"/>
    <n v="10844.07"/>
    <s v="18-10-2024"/>
  </r>
  <r>
    <n v="1776"/>
    <x v="2"/>
    <x v="2"/>
    <n v="13879.88"/>
    <s v="26-10-2024"/>
  </r>
  <r>
    <n v="1777"/>
    <x v="2"/>
    <x v="2"/>
    <n v="50111.07"/>
    <s v="18-02-2024"/>
  </r>
  <r>
    <n v="1778"/>
    <x v="5"/>
    <x v="3"/>
    <n v="41514.04"/>
    <s v="02-01-2024"/>
  </r>
  <r>
    <n v="1779"/>
    <x v="0"/>
    <x v="1"/>
    <n v="26378.42"/>
    <s v="03-09-2024"/>
  </r>
  <r>
    <n v="1780"/>
    <x v="3"/>
    <x v="1"/>
    <n v="57217.23"/>
    <s v="27-12-2024"/>
  </r>
  <r>
    <n v="1781"/>
    <x v="2"/>
    <x v="1"/>
    <n v="43542.22"/>
    <s v="22-05-2024"/>
  </r>
  <r>
    <n v="1782"/>
    <x v="1"/>
    <x v="3"/>
    <n v="53990.64"/>
    <s v="15-03-2024"/>
  </r>
  <r>
    <n v="1783"/>
    <x v="5"/>
    <x v="0"/>
    <n v="16908.169999999998"/>
    <s v="27-02-2024"/>
  </r>
  <r>
    <n v="1784"/>
    <x v="1"/>
    <x v="2"/>
    <n v="14971.06"/>
    <s v="08-01-2024"/>
  </r>
  <r>
    <n v="1785"/>
    <x v="1"/>
    <x v="0"/>
    <n v="18665.96"/>
    <s v="30-01-2024"/>
  </r>
  <r>
    <n v="1786"/>
    <x v="3"/>
    <x v="2"/>
    <n v="24566.5"/>
    <s v="03-01-2024"/>
  </r>
  <r>
    <n v="1787"/>
    <x v="5"/>
    <x v="3"/>
    <n v="5134.05"/>
    <s v="23-10-2024"/>
  </r>
  <r>
    <n v="1788"/>
    <x v="1"/>
    <x v="3"/>
    <n v="4727.8"/>
    <s v="25-11-2024"/>
  </r>
  <r>
    <n v="1789"/>
    <x v="0"/>
    <x v="3"/>
    <n v="32553.17"/>
    <s v="03-01-2024"/>
  </r>
  <r>
    <n v="1790"/>
    <x v="1"/>
    <x v="1"/>
    <n v="25245.61"/>
    <s v="11-01-2024"/>
  </r>
  <r>
    <n v="1791"/>
    <x v="0"/>
    <x v="0"/>
    <n v="14952.02"/>
    <s v="23-04-2024"/>
  </r>
  <r>
    <n v="1792"/>
    <x v="0"/>
    <x v="2"/>
    <n v="43324.99"/>
    <s v="01-10-2024"/>
  </r>
  <r>
    <n v="1793"/>
    <x v="4"/>
    <x v="0"/>
    <n v="27868.3"/>
    <s v="18-06-2024"/>
  </r>
  <r>
    <n v="1794"/>
    <x v="1"/>
    <x v="0"/>
    <n v="23591.279999999999"/>
    <s v="17-12-2024"/>
  </r>
  <r>
    <n v="1795"/>
    <x v="2"/>
    <x v="1"/>
    <n v="16239.73"/>
    <s v="25-09-2024"/>
  </r>
  <r>
    <n v="1796"/>
    <x v="0"/>
    <x v="1"/>
    <n v="54791.94"/>
    <s v="23-07-2024"/>
  </r>
  <r>
    <n v="1797"/>
    <x v="3"/>
    <x v="0"/>
    <n v="27616.67"/>
    <s v="03-08-2024"/>
  </r>
  <r>
    <n v="1798"/>
    <x v="5"/>
    <x v="0"/>
    <n v="50071.75"/>
    <s v="02-09-2024"/>
  </r>
  <r>
    <n v="1799"/>
    <x v="0"/>
    <x v="1"/>
    <n v="6849.62"/>
    <s v="20-05-2024"/>
  </r>
  <r>
    <n v="1800"/>
    <x v="3"/>
    <x v="2"/>
    <n v="56081.25"/>
    <s v="04-07-2024"/>
  </r>
  <r>
    <n v="1801"/>
    <x v="2"/>
    <x v="2"/>
    <n v="35562.699999999997"/>
    <s v="18-11-2024"/>
  </r>
  <r>
    <n v="1802"/>
    <x v="0"/>
    <x v="1"/>
    <n v="58397.81"/>
    <s v="01-04-2024"/>
  </r>
  <r>
    <n v="1803"/>
    <x v="1"/>
    <x v="0"/>
    <n v="23974"/>
    <s v="21-12-2024"/>
  </r>
  <r>
    <n v="1804"/>
    <x v="0"/>
    <x v="0"/>
    <n v="55578.81"/>
    <s v="26-07-2024"/>
  </r>
  <r>
    <n v="1805"/>
    <x v="5"/>
    <x v="0"/>
    <n v="49700.95"/>
    <s v="08-10-2024"/>
  </r>
  <r>
    <n v="1806"/>
    <x v="4"/>
    <x v="3"/>
    <n v="54042.41"/>
    <s v="20-10-2024"/>
  </r>
  <r>
    <n v="1807"/>
    <x v="1"/>
    <x v="2"/>
    <n v="29548.76"/>
    <s v="17-01-2024"/>
  </r>
  <r>
    <n v="1808"/>
    <x v="3"/>
    <x v="0"/>
    <n v="48502.03"/>
    <s v="06-06-2024"/>
  </r>
  <r>
    <n v="1809"/>
    <x v="1"/>
    <x v="3"/>
    <n v="57930.79"/>
    <s v="03-04-2024"/>
  </r>
  <r>
    <n v="1810"/>
    <x v="1"/>
    <x v="3"/>
    <n v="1848"/>
    <s v="02-01-2024"/>
  </r>
  <r>
    <n v="1781"/>
    <x v="5"/>
    <x v="0"/>
    <n v="5260.58"/>
    <s v="25-01-2024"/>
  </r>
  <r>
    <n v="1812"/>
    <x v="5"/>
    <x v="3"/>
    <n v="52471.28"/>
    <s v="17-02-2024"/>
  </r>
  <r>
    <n v="1813"/>
    <x v="1"/>
    <x v="1"/>
    <n v="15938.74"/>
    <s v="23-06-2024"/>
  </r>
  <r>
    <n v="1814"/>
    <x v="5"/>
    <x v="0"/>
    <n v="52120.61"/>
    <s v="03-08-2024"/>
  </r>
  <r>
    <n v="1815"/>
    <x v="5"/>
    <x v="0"/>
    <n v="6855.02"/>
    <s v="10-09-2024"/>
  </r>
  <r>
    <n v="1816"/>
    <x v="1"/>
    <x v="1"/>
    <n v="37765.129999999997"/>
    <s v="15-01-2024"/>
  </r>
  <r>
    <n v="1817"/>
    <x v="0"/>
    <x v="0"/>
    <n v="8481.31"/>
    <s v="19-09-2024"/>
  </r>
  <r>
    <n v="1818"/>
    <x v="3"/>
    <x v="0"/>
    <n v="51337.37"/>
    <s v="19-03-2024"/>
  </r>
  <r>
    <n v="1819"/>
    <x v="1"/>
    <x v="2"/>
    <n v="24257.24"/>
    <s v="01-10-2024"/>
  </r>
  <r>
    <n v="1820"/>
    <x v="0"/>
    <x v="1"/>
    <n v="35686.239999999998"/>
    <s v="07-07-2024"/>
  </r>
  <r>
    <n v="1821"/>
    <x v="5"/>
    <x v="1"/>
    <n v="58721.52"/>
    <s v="09-12-2024"/>
  </r>
  <r>
    <n v="1822"/>
    <x v="3"/>
    <x v="1"/>
    <n v="30435.807390000002"/>
    <s v="28-09-2024"/>
  </r>
  <r>
    <n v="1823"/>
    <x v="5"/>
    <x v="0"/>
    <n v="17408.62"/>
    <s v="14-10-2024"/>
  </r>
  <r>
    <n v="1824"/>
    <x v="3"/>
    <x v="0"/>
    <n v="2247.84"/>
    <s v="15-09-2024"/>
  </r>
  <r>
    <n v="1825"/>
    <x v="5"/>
    <x v="0"/>
    <n v="28294.01"/>
    <s v="30-04-2024"/>
  </r>
  <r>
    <n v="1826"/>
    <x v="2"/>
    <x v="3"/>
    <n v="54448.79"/>
    <s v="15-04-2024"/>
  </r>
  <r>
    <n v="1827"/>
    <x v="5"/>
    <x v="3"/>
    <n v="35413.300000000003"/>
    <s v="12-12-2024"/>
  </r>
  <r>
    <n v="1828"/>
    <x v="0"/>
    <x v="0"/>
    <n v="59358.39"/>
    <s v="30-06-2024"/>
  </r>
  <r>
    <n v="1829"/>
    <x v="4"/>
    <x v="3"/>
    <n v="47416.66"/>
    <s v="09-04-2024"/>
  </r>
  <r>
    <n v="1830"/>
    <x v="3"/>
    <x v="1"/>
    <n v="12504.81"/>
    <s v="29-12-2024"/>
  </r>
  <r>
    <n v="1831"/>
    <x v="1"/>
    <x v="1"/>
    <n v="48307.73"/>
    <s v="26-11-2024"/>
  </r>
  <r>
    <n v="1832"/>
    <x v="2"/>
    <x v="0"/>
    <n v="2620.7600000000002"/>
    <s v="20-07-2024"/>
  </r>
  <r>
    <n v="1833"/>
    <x v="3"/>
    <x v="2"/>
    <n v="12053.46"/>
    <s v="21-10-2024"/>
  </r>
  <r>
    <n v="1834"/>
    <x v="5"/>
    <x v="0"/>
    <n v="55467.27"/>
    <s v="01-11-2024"/>
  </r>
  <r>
    <n v="1835"/>
    <x v="1"/>
    <x v="0"/>
    <n v="39323.03"/>
    <s v="25-05-2024"/>
  </r>
  <r>
    <n v="1836"/>
    <x v="1"/>
    <x v="0"/>
    <n v="32093.45"/>
    <s v="07-03-2024"/>
  </r>
  <r>
    <n v="1837"/>
    <x v="3"/>
    <x v="0"/>
    <n v="7498.39"/>
    <s v="21-05-2024"/>
  </r>
  <r>
    <n v="1838"/>
    <x v="0"/>
    <x v="1"/>
    <n v="9592.09"/>
    <s v="16-08-2024"/>
  </r>
  <r>
    <n v="1839"/>
    <x v="3"/>
    <x v="0"/>
    <n v="9333.3799999999992"/>
    <s v="30-09-2024"/>
  </r>
  <r>
    <n v="1840"/>
    <x v="5"/>
    <x v="0"/>
    <n v="39365.050000000003"/>
    <s v="11-06-2024"/>
  </r>
  <r>
    <n v="1841"/>
    <x v="0"/>
    <x v="0"/>
    <n v="53436.4"/>
    <s v="04-11-2024"/>
  </r>
  <r>
    <n v="1842"/>
    <x v="1"/>
    <x v="1"/>
    <n v="23027.84"/>
    <s v="19-10-2024"/>
  </r>
  <r>
    <n v="1843"/>
    <x v="5"/>
    <x v="1"/>
    <n v="8160.94"/>
    <s v="11-05-2024"/>
  </r>
  <r>
    <n v="1844"/>
    <x v="0"/>
    <x v="3"/>
    <n v="30435.807390000002"/>
    <s v="29-12-2024"/>
  </r>
  <r>
    <n v="1845"/>
    <x v="2"/>
    <x v="0"/>
    <n v="52142.47"/>
    <s v="19-09-2024"/>
  </r>
  <r>
    <n v="1846"/>
    <x v="2"/>
    <x v="3"/>
    <n v="10982.98"/>
    <s v="21-06-2024"/>
  </r>
  <r>
    <n v="1847"/>
    <x v="0"/>
    <x v="3"/>
    <n v="2066.7800000000002"/>
    <s v="09-07-2024"/>
  </r>
  <r>
    <n v="1848"/>
    <x v="2"/>
    <x v="0"/>
    <n v="28906.45"/>
    <s v="22-01-2024"/>
  </r>
  <r>
    <n v="1849"/>
    <x v="3"/>
    <x v="0"/>
    <n v="6745.23"/>
    <s v="08-08-2024"/>
  </r>
  <r>
    <n v="1850"/>
    <x v="2"/>
    <x v="1"/>
    <n v="46729.83"/>
    <s v="02-09-2024"/>
  </r>
  <r>
    <n v="1851"/>
    <x v="5"/>
    <x v="0"/>
    <n v="43102.83"/>
    <s v="15-10-2024"/>
  </r>
  <r>
    <n v="1852"/>
    <x v="2"/>
    <x v="3"/>
    <n v="44931.22"/>
    <s v="29-08-2024"/>
  </r>
  <r>
    <n v="1853"/>
    <x v="5"/>
    <x v="2"/>
    <n v="43748.92"/>
    <s v="28-10-2024"/>
  </r>
  <r>
    <n v="1854"/>
    <x v="4"/>
    <x v="3"/>
    <n v="34370.61"/>
    <s v="06-08-2024"/>
  </r>
  <r>
    <n v="1855"/>
    <x v="3"/>
    <x v="3"/>
    <n v="29547.15"/>
    <s v="08-08-2024"/>
  </r>
  <r>
    <n v="1856"/>
    <x v="0"/>
    <x v="3"/>
    <n v="2728.67"/>
    <s v="04-09-2024"/>
  </r>
  <r>
    <n v="1857"/>
    <x v="1"/>
    <x v="2"/>
    <n v="19609.57"/>
    <s v="12-01-2024"/>
  </r>
  <r>
    <n v="1858"/>
    <x v="5"/>
    <x v="0"/>
    <n v="6569.45"/>
    <s v="07-11-2024"/>
  </r>
  <r>
    <n v="1859"/>
    <x v="5"/>
    <x v="2"/>
    <n v="39069.019999999997"/>
    <s v="23-12-2024"/>
  </r>
  <r>
    <n v="1860"/>
    <x v="5"/>
    <x v="0"/>
    <n v="42874.49"/>
    <s v="12-04-2024"/>
  </r>
  <r>
    <n v="1861"/>
    <x v="5"/>
    <x v="1"/>
    <n v="28034.080000000002"/>
    <s v="28-11-2024"/>
  </r>
  <r>
    <n v="1862"/>
    <x v="2"/>
    <x v="1"/>
    <n v="35346.54"/>
    <s v="22-05-2024"/>
  </r>
  <r>
    <n v="1863"/>
    <x v="3"/>
    <x v="0"/>
    <n v="56195.86"/>
    <s v="26-09-2024"/>
  </r>
  <r>
    <n v="1864"/>
    <x v="3"/>
    <x v="2"/>
    <n v="53500.35"/>
    <s v="20-05-2024"/>
  </r>
  <r>
    <n v="1865"/>
    <x v="2"/>
    <x v="3"/>
    <n v="44815.519999999997"/>
    <s v="06-02-2024"/>
  </r>
  <r>
    <n v="1866"/>
    <x v="2"/>
    <x v="0"/>
    <n v="27134.11"/>
    <s v="25-08-2024"/>
  </r>
  <r>
    <n v="1867"/>
    <x v="3"/>
    <x v="2"/>
    <n v="13007.16"/>
    <s v="20-01-2024"/>
  </r>
  <r>
    <n v="1868"/>
    <x v="4"/>
    <x v="0"/>
    <n v="45138.23"/>
    <s v="26-10-2024"/>
  </r>
  <r>
    <n v="1869"/>
    <x v="0"/>
    <x v="1"/>
    <n v="46720.78"/>
    <s v="12-04-2024"/>
  </r>
  <r>
    <n v="1870"/>
    <x v="1"/>
    <x v="3"/>
    <n v="26728.16"/>
    <s v="13-11-2024"/>
  </r>
  <r>
    <n v="1871"/>
    <x v="1"/>
    <x v="0"/>
    <n v="15876.49"/>
    <s v="30-04-2024"/>
  </r>
  <r>
    <n v="1872"/>
    <x v="2"/>
    <x v="0"/>
    <n v="32242.48"/>
    <s v="15-02-2024"/>
  </r>
  <r>
    <n v="1873"/>
    <x v="2"/>
    <x v="1"/>
    <n v="37720.18"/>
    <s v="09-06-2024"/>
  </r>
  <r>
    <n v="1874"/>
    <x v="3"/>
    <x v="0"/>
    <n v="19897.63"/>
    <s v="15-02-2024"/>
  </r>
  <r>
    <n v="1875"/>
    <x v="0"/>
    <x v="2"/>
    <n v="41775.25"/>
    <s v="06-06-2024"/>
  </r>
  <r>
    <n v="1876"/>
    <x v="0"/>
    <x v="3"/>
    <n v="56107.95"/>
    <s v="15-08-2024"/>
  </r>
  <r>
    <n v="1877"/>
    <x v="2"/>
    <x v="3"/>
    <n v="45472.32"/>
    <s v="24-05-2024"/>
  </r>
  <r>
    <n v="1878"/>
    <x v="3"/>
    <x v="3"/>
    <n v="37731.949999999997"/>
    <s v="23-03-2024"/>
  </r>
  <r>
    <n v="1879"/>
    <x v="2"/>
    <x v="3"/>
    <n v="17340.32"/>
    <s v="24-08-2024"/>
  </r>
  <r>
    <n v="1880"/>
    <x v="5"/>
    <x v="3"/>
    <n v="22938.37"/>
    <s v="25-01-2024"/>
  </r>
  <r>
    <n v="1881"/>
    <x v="3"/>
    <x v="3"/>
    <n v="50625.33"/>
    <s v="24-11-2024"/>
  </r>
  <r>
    <n v="1882"/>
    <x v="3"/>
    <x v="2"/>
    <n v="41307.360000000001"/>
    <s v="09-12-2024"/>
  </r>
  <r>
    <n v="1883"/>
    <x v="1"/>
    <x v="0"/>
    <n v="43902.61"/>
    <s v="15-01-2024"/>
  </r>
  <r>
    <n v="1884"/>
    <x v="0"/>
    <x v="2"/>
    <n v="54557.3"/>
    <s v="03-05-2024"/>
  </r>
  <r>
    <n v="1885"/>
    <x v="1"/>
    <x v="0"/>
    <n v="1536.79"/>
    <s v="11-03-2024"/>
  </r>
  <r>
    <n v="1886"/>
    <x v="1"/>
    <x v="3"/>
    <n v="58262.73"/>
    <s v="08-11-2024"/>
  </r>
  <r>
    <n v="1887"/>
    <x v="0"/>
    <x v="0"/>
    <n v="9521.75"/>
    <s v="01-04-2024"/>
  </r>
  <r>
    <n v="1888"/>
    <x v="2"/>
    <x v="3"/>
    <n v="30435.807390000002"/>
    <s v="13-10-2024"/>
  </r>
  <r>
    <n v="1889"/>
    <x v="1"/>
    <x v="3"/>
    <n v="11844.96"/>
    <s v="07-12-2024"/>
  </r>
  <r>
    <n v="1890"/>
    <x v="0"/>
    <x v="0"/>
    <n v="25794.73"/>
    <s v="15-06-2024"/>
  </r>
  <r>
    <n v="1891"/>
    <x v="1"/>
    <x v="3"/>
    <n v="55282.25"/>
    <s v="05-12-2024"/>
  </r>
  <r>
    <n v="1892"/>
    <x v="0"/>
    <x v="0"/>
    <n v="30607.4"/>
    <s v="29-05-2024"/>
  </r>
  <r>
    <n v="1893"/>
    <x v="3"/>
    <x v="1"/>
    <n v="18798.07"/>
    <s v="26-08-2024"/>
  </r>
  <r>
    <n v="1894"/>
    <x v="0"/>
    <x v="0"/>
    <n v="54212.66"/>
    <s v="22-10-2024"/>
  </r>
  <r>
    <n v="1895"/>
    <x v="2"/>
    <x v="1"/>
    <n v="8614.84"/>
    <s v="21-12-2024"/>
  </r>
  <r>
    <n v="1896"/>
    <x v="1"/>
    <x v="0"/>
    <n v="30435.807390000002"/>
    <s v="22-01-2024"/>
  </r>
  <r>
    <n v="1897"/>
    <x v="3"/>
    <x v="0"/>
    <n v="39460.22"/>
    <s v="14-08-2024"/>
  </r>
  <r>
    <n v="1898"/>
    <x v="0"/>
    <x v="1"/>
    <n v="42272.14"/>
    <s v="18-05-2024"/>
  </r>
  <r>
    <n v="1899"/>
    <x v="0"/>
    <x v="2"/>
    <n v="36971.65"/>
    <s v="09-09-2024"/>
  </r>
  <r>
    <n v="1900"/>
    <x v="0"/>
    <x v="1"/>
    <n v="53790.11"/>
    <s v="14-11-2024"/>
  </r>
  <r>
    <n v="1901"/>
    <x v="3"/>
    <x v="3"/>
    <n v="12682.18"/>
    <s v="22-03-2024"/>
  </r>
  <r>
    <n v="1902"/>
    <x v="0"/>
    <x v="0"/>
    <n v="8963.73"/>
    <s v="05-03-2024"/>
  </r>
  <r>
    <n v="1903"/>
    <x v="0"/>
    <x v="1"/>
    <n v="20588.04"/>
    <s v="04-10-2024"/>
  </r>
  <r>
    <n v="1904"/>
    <x v="2"/>
    <x v="0"/>
    <n v="30435.807390000002"/>
    <s v="16-12-2024"/>
  </r>
  <r>
    <n v="1905"/>
    <x v="3"/>
    <x v="0"/>
    <n v="52669.99"/>
    <s v="15-03-2024"/>
  </r>
  <r>
    <n v="1906"/>
    <x v="4"/>
    <x v="1"/>
    <n v="33065.58"/>
    <s v="17-05-2024"/>
  </r>
  <r>
    <n v="1907"/>
    <x v="0"/>
    <x v="3"/>
    <n v="40049.760000000002"/>
    <s v="25-02-2024"/>
  </r>
  <r>
    <n v="1908"/>
    <x v="4"/>
    <x v="0"/>
    <n v="24977.97"/>
    <s v="19-04-2024"/>
  </r>
  <r>
    <n v="1909"/>
    <x v="3"/>
    <x v="3"/>
    <n v="14692.64"/>
    <s v="29-05-2024"/>
  </r>
  <r>
    <n v="1910"/>
    <x v="4"/>
    <x v="1"/>
    <n v="15374.68"/>
    <s v="28-09-2024"/>
  </r>
  <r>
    <n v="1911"/>
    <x v="3"/>
    <x v="2"/>
    <n v="20904.189999999999"/>
    <s v="09-06-2024"/>
  </r>
  <r>
    <n v="1694"/>
    <x v="4"/>
    <x v="3"/>
    <n v="40202.589999999997"/>
    <s v="17-03-2024"/>
  </r>
  <r>
    <n v="1913"/>
    <x v="2"/>
    <x v="3"/>
    <n v="34641.050000000003"/>
    <s v="04-05-2024"/>
  </r>
  <r>
    <n v="1914"/>
    <x v="3"/>
    <x v="3"/>
    <n v="7736.84"/>
    <s v="15-11-2024"/>
  </r>
  <r>
    <n v="1863"/>
    <x v="1"/>
    <x v="2"/>
    <n v="59953.23"/>
    <s v="29-02-2024"/>
  </r>
  <r>
    <n v="1916"/>
    <x v="1"/>
    <x v="3"/>
    <n v="33097.769999999997"/>
    <s v="14-01-2024"/>
  </r>
  <r>
    <n v="1917"/>
    <x v="5"/>
    <x v="0"/>
    <n v="3942.01"/>
    <s v="22-07-2024"/>
  </r>
  <r>
    <n v="1918"/>
    <x v="0"/>
    <x v="2"/>
    <n v="21945.9"/>
    <s v="21-10-2024"/>
  </r>
  <r>
    <n v="1919"/>
    <x v="2"/>
    <x v="0"/>
    <n v="51850.94"/>
    <s v="02-02-2024"/>
  </r>
  <r>
    <n v="1920"/>
    <x v="3"/>
    <x v="0"/>
    <n v="17849.2"/>
    <s v="10-08-2024"/>
  </r>
  <r>
    <n v="1921"/>
    <x v="2"/>
    <x v="3"/>
    <n v="22548.45"/>
    <s v="12-11-2024"/>
  </r>
  <r>
    <n v="1922"/>
    <x v="0"/>
    <x v="1"/>
    <n v="46665.71"/>
    <s v="30-01-2024"/>
  </r>
  <r>
    <n v="1923"/>
    <x v="2"/>
    <x v="0"/>
    <n v="32592.76"/>
    <s v="07-10-2024"/>
  </r>
  <r>
    <n v="1924"/>
    <x v="0"/>
    <x v="0"/>
    <n v="14812.06"/>
    <s v="15-12-2024"/>
  </r>
  <r>
    <n v="1925"/>
    <x v="3"/>
    <x v="0"/>
    <n v="6251.57"/>
    <s v="22-02-2024"/>
  </r>
  <r>
    <n v="1926"/>
    <x v="5"/>
    <x v="2"/>
    <n v="18041.53"/>
    <s v="03-10-2024"/>
  </r>
  <r>
    <n v="1927"/>
    <x v="5"/>
    <x v="3"/>
    <n v="19282.07"/>
    <s v="21-11-2024"/>
  </r>
  <r>
    <n v="1928"/>
    <x v="5"/>
    <x v="2"/>
    <n v="2144.67"/>
    <s v="14-11-2024"/>
  </r>
  <r>
    <n v="1929"/>
    <x v="1"/>
    <x v="3"/>
    <n v="52496.98"/>
    <s v="07-06-2024"/>
  </r>
  <r>
    <n v="1930"/>
    <x v="1"/>
    <x v="0"/>
    <n v="35106.25"/>
    <s v="04-06-2024"/>
  </r>
  <r>
    <n v="1931"/>
    <x v="5"/>
    <x v="0"/>
    <n v="17809.88"/>
    <s v="21-04-2024"/>
  </r>
  <r>
    <n v="1932"/>
    <x v="2"/>
    <x v="2"/>
    <n v="13147.35"/>
    <s v="11-05-2024"/>
  </r>
  <r>
    <n v="1933"/>
    <x v="2"/>
    <x v="0"/>
    <n v="31089.119999999999"/>
    <s v="09-09-2024"/>
  </r>
  <r>
    <n v="1934"/>
    <x v="3"/>
    <x v="1"/>
    <n v="7808.77"/>
    <s v="04-07-2024"/>
  </r>
  <r>
    <n v="1935"/>
    <x v="1"/>
    <x v="0"/>
    <n v="16488.11"/>
    <s v="07-12-2024"/>
  </r>
  <r>
    <n v="1936"/>
    <x v="2"/>
    <x v="3"/>
    <n v="58693.37"/>
    <s v="18-05-2024"/>
  </r>
  <r>
    <n v="1937"/>
    <x v="0"/>
    <x v="2"/>
    <n v="6833.53"/>
    <s v="03-04-2024"/>
  </r>
  <r>
    <n v="1938"/>
    <x v="3"/>
    <x v="2"/>
    <n v="30435.807390000002"/>
    <s v="13-03-2024"/>
  </r>
  <r>
    <n v="1939"/>
    <x v="1"/>
    <x v="1"/>
    <n v="10376.56"/>
    <s v="28-03-2024"/>
  </r>
  <r>
    <n v="1940"/>
    <x v="2"/>
    <x v="3"/>
    <n v="48906.1"/>
    <s v="12-08-2024"/>
  </r>
  <r>
    <n v="1941"/>
    <x v="3"/>
    <x v="1"/>
    <n v="42942.77"/>
    <s v="29-10-2024"/>
  </r>
  <r>
    <n v="1942"/>
    <x v="1"/>
    <x v="0"/>
    <n v="30435.807390000002"/>
    <s v="24-09-2024"/>
  </r>
  <r>
    <n v="1943"/>
    <x v="2"/>
    <x v="0"/>
    <n v="19823.59"/>
    <s v="12-10-2024"/>
  </r>
  <r>
    <n v="1944"/>
    <x v="5"/>
    <x v="0"/>
    <n v="39967.71"/>
    <s v="17-07-2024"/>
  </r>
  <r>
    <n v="1945"/>
    <x v="3"/>
    <x v="2"/>
    <n v="18258.39"/>
    <s v="05-06-2024"/>
  </r>
  <r>
    <n v="1946"/>
    <x v="4"/>
    <x v="0"/>
    <n v="56154.5"/>
    <s v="15-02-2024"/>
  </r>
  <r>
    <n v="1947"/>
    <x v="4"/>
    <x v="0"/>
    <n v="51422.52"/>
    <s v="12-11-2024"/>
  </r>
  <r>
    <n v="1948"/>
    <x v="1"/>
    <x v="0"/>
    <n v="40355.17"/>
    <s v="07-03-2024"/>
  </r>
  <r>
    <n v="1949"/>
    <x v="0"/>
    <x v="0"/>
    <n v="41711.519999999997"/>
    <s v="14-12-2024"/>
  </r>
  <r>
    <n v="1950"/>
    <x v="0"/>
    <x v="1"/>
    <n v="30435.807390000002"/>
    <s v="10-02-2024"/>
  </r>
  <r>
    <n v="1951"/>
    <x v="0"/>
    <x v="3"/>
    <n v="5633.64"/>
    <s v="02-11-2024"/>
  </r>
  <r>
    <n v="1952"/>
    <x v="2"/>
    <x v="2"/>
    <n v="24706.99"/>
    <s v="25-07-2024"/>
  </r>
  <r>
    <n v="1953"/>
    <x v="3"/>
    <x v="0"/>
    <n v="17773.009999999998"/>
    <s v="27-05-2024"/>
  </r>
  <r>
    <n v="1954"/>
    <x v="1"/>
    <x v="3"/>
    <n v="51914.879999999997"/>
    <s v="25-01-2024"/>
  </r>
  <r>
    <n v="1955"/>
    <x v="3"/>
    <x v="1"/>
    <n v="44041.760000000002"/>
    <s v="25-06-2024"/>
  </r>
  <r>
    <n v="1956"/>
    <x v="1"/>
    <x v="0"/>
    <n v="17094.84"/>
    <s v="03-04-2024"/>
  </r>
  <r>
    <n v="1957"/>
    <x v="1"/>
    <x v="3"/>
    <n v="56655.3"/>
    <s v="11-12-2024"/>
  </r>
  <r>
    <n v="1958"/>
    <x v="1"/>
    <x v="0"/>
    <n v="23897.83"/>
    <s v="09-10-2024"/>
  </r>
  <r>
    <n v="1087"/>
    <x v="4"/>
    <x v="3"/>
    <n v="48530.89"/>
    <s v="19-11-2024"/>
  </r>
  <r>
    <n v="1960"/>
    <x v="1"/>
    <x v="3"/>
    <n v="26533.26"/>
    <s v="12-07-2024"/>
  </r>
  <r>
    <n v="1961"/>
    <x v="0"/>
    <x v="2"/>
    <n v="6365.19"/>
    <s v="21-02-2024"/>
  </r>
  <r>
    <n v="1962"/>
    <x v="1"/>
    <x v="3"/>
    <n v="39599.57"/>
    <s v="18-08-2024"/>
  </r>
  <r>
    <n v="1963"/>
    <x v="5"/>
    <x v="2"/>
    <n v="4952.47"/>
    <s v="27-02-2024"/>
  </r>
  <r>
    <n v="1964"/>
    <x v="2"/>
    <x v="2"/>
    <n v="41615.68"/>
    <s v="31-07-2024"/>
  </r>
  <r>
    <n v="1965"/>
    <x v="5"/>
    <x v="1"/>
    <n v="54540.33"/>
    <s v="12-11-2024"/>
  </r>
  <r>
    <n v="1966"/>
    <x v="2"/>
    <x v="1"/>
    <n v="29243.4"/>
    <s v="28-12-2024"/>
  </r>
  <r>
    <n v="1967"/>
    <x v="2"/>
    <x v="0"/>
    <n v="30435.807390000002"/>
    <s v="22-08-2024"/>
  </r>
  <r>
    <n v="1968"/>
    <x v="1"/>
    <x v="3"/>
    <n v="46705.7"/>
    <s v="28-06-2024"/>
  </r>
  <r>
    <n v="1969"/>
    <x v="5"/>
    <x v="3"/>
    <n v="5551.52"/>
    <s v="14-10-2024"/>
  </r>
  <r>
    <n v="1970"/>
    <x v="3"/>
    <x v="0"/>
    <n v="31581.11"/>
    <s v="27-09-2024"/>
  </r>
  <r>
    <n v="1971"/>
    <x v="0"/>
    <x v="1"/>
    <n v="26871.97"/>
    <s v="02-05-2024"/>
  </r>
  <r>
    <n v="1972"/>
    <x v="0"/>
    <x v="3"/>
    <n v="21429.7"/>
    <s v="28-05-2024"/>
  </r>
  <r>
    <n v="1973"/>
    <x v="3"/>
    <x v="3"/>
    <n v="30585.05"/>
    <s v="29-09-2024"/>
  </r>
  <r>
    <n v="1974"/>
    <x v="1"/>
    <x v="0"/>
    <n v="11371.25"/>
    <s v="29-03-2024"/>
  </r>
  <r>
    <n v="1975"/>
    <x v="5"/>
    <x v="3"/>
    <n v="48951.24"/>
    <s v="14-07-2024"/>
  </r>
  <r>
    <n v="1976"/>
    <x v="0"/>
    <x v="3"/>
    <n v="8995.5"/>
    <s v="17-05-2024"/>
  </r>
  <r>
    <n v="1977"/>
    <x v="0"/>
    <x v="3"/>
    <n v="45858.39"/>
    <s v="28-06-2024"/>
  </r>
  <r>
    <n v="1978"/>
    <x v="2"/>
    <x v="1"/>
    <n v="37087.68"/>
    <s v="21-07-2024"/>
  </r>
  <r>
    <n v="1979"/>
    <x v="4"/>
    <x v="1"/>
    <n v="26882.400000000001"/>
    <s v="30-12-2024"/>
  </r>
  <r>
    <n v="1980"/>
    <x v="5"/>
    <x v="2"/>
    <n v="34133.480000000003"/>
    <s v="14-12-2024"/>
  </r>
  <r>
    <n v="1981"/>
    <x v="0"/>
    <x v="1"/>
    <n v="10710.11"/>
    <s v="04-08-2024"/>
  </r>
  <r>
    <n v="1982"/>
    <x v="1"/>
    <x v="0"/>
    <n v="3776.61"/>
    <s v="31-03-2024"/>
  </r>
  <r>
    <n v="1983"/>
    <x v="2"/>
    <x v="1"/>
    <n v="55835.05"/>
    <s v="14-03-2024"/>
  </r>
  <r>
    <n v="1984"/>
    <x v="5"/>
    <x v="3"/>
    <n v="20220.990000000002"/>
    <s v="27-04-2024"/>
  </r>
  <r>
    <n v="1985"/>
    <x v="3"/>
    <x v="0"/>
    <n v="27292.69"/>
    <s v="20-11-2024"/>
  </r>
  <r>
    <n v="1986"/>
    <x v="3"/>
    <x v="0"/>
    <n v="39932.32"/>
    <s v="29-02-2024"/>
  </r>
  <r>
    <n v="1987"/>
    <x v="0"/>
    <x v="0"/>
    <n v="32122.26"/>
    <s v="23-10-2024"/>
  </r>
  <r>
    <n v="1988"/>
    <x v="2"/>
    <x v="3"/>
    <n v="5601.64"/>
    <s v="29-03-2024"/>
  </r>
  <r>
    <n v="1989"/>
    <x v="3"/>
    <x v="2"/>
    <n v="21594.09"/>
    <s v="02-01-2024"/>
  </r>
  <r>
    <n v="1990"/>
    <x v="1"/>
    <x v="3"/>
    <n v="16144.15"/>
    <s v="12-02-2024"/>
  </r>
  <r>
    <n v="1991"/>
    <x v="4"/>
    <x v="0"/>
    <n v="18893.580000000002"/>
    <s v="03-09-2024"/>
  </r>
  <r>
    <n v="1992"/>
    <x v="2"/>
    <x v="0"/>
    <n v="19923.25"/>
    <s v="19-07-2024"/>
  </r>
  <r>
    <n v="1993"/>
    <x v="0"/>
    <x v="3"/>
    <n v="12433.56"/>
    <s v="14-03-2024"/>
  </r>
  <r>
    <n v="1994"/>
    <x v="2"/>
    <x v="3"/>
    <n v="4318.55"/>
    <s v="12-11-2024"/>
  </r>
  <r>
    <n v="1995"/>
    <x v="2"/>
    <x v="3"/>
    <n v="56698.44"/>
    <s v="18-10-2024"/>
  </r>
  <r>
    <n v="1996"/>
    <x v="5"/>
    <x v="2"/>
    <n v="40856.410000000003"/>
    <s v="24-04-2024"/>
  </r>
  <r>
    <n v="1111"/>
    <x v="1"/>
    <x v="0"/>
    <n v="41048.51"/>
    <s v="21-03-2024"/>
  </r>
  <r>
    <n v="1998"/>
    <x v="5"/>
    <x v="2"/>
    <n v="51126.41"/>
    <s v="16-06-2024"/>
  </r>
  <r>
    <n v="1999"/>
    <x v="2"/>
    <x v="0"/>
    <n v="38362.870000000003"/>
    <s v="05-05-2024"/>
  </r>
  <r>
    <n v="2000"/>
    <x v="3"/>
    <x v="3"/>
    <n v="6264.11"/>
    <s v="23-02-2024"/>
  </r>
  <r>
    <n v="2001"/>
    <x v="2"/>
    <x v="2"/>
    <n v="6589.6"/>
    <s v="20-03-2024"/>
  </r>
  <r>
    <n v="2002"/>
    <x v="3"/>
    <x v="3"/>
    <n v="35767.86"/>
    <s v="24-07-2024"/>
  </r>
  <r>
    <n v="2003"/>
    <x v="2"/>
    <x v="1"/>
    <n v="15744.2"/>
    <s v="19-02-2024"/>
  </r>
  <r>
    <n v="2004"/>
    <x v="1"/>
    <x v="2"/>
    <n v="30245.759999999998"/>
    <s v="03-08-2024"/>
  </r>
  <r>
    <n v="2005"/>
    <x v="3"/>
    <x v="2"/>
    <n v="49682.96"/>
    <s v="21-01-2024"/>
  </r>
  <r>
    <n v="2006"/>
    <x v="5"/>
    <x v="0"/>
    <n v="27187.5"/>
    <s v="08-03-2024"/>
  </r>
  <r>
    <n v="2007"/>
    <x v="3"/>
    <x v="2"/>
    <n v="40160.33"/>
    <s v="02-07-2024"/>
  </r>
  <r>
    <n v="2008"/>
    <x v="0"/>
    <x v="2"/>
    <n v="31706.91"/>
    <s v="11-10-2024"/>
  </r>
  <r>
    <n v="2009"/>
    <x v="2"/>
    <x v="1"/>
    <n v="45463"/>
    <s v="24-06-2024"/>
  </r>
  <r>
    <n v="2010"/>
    <x v="1"/>
    <x v="2"/>
    <n v="26791.74"/>
    <s v="14-08-2024"/>
  </r>
  <r>
    <n v="2011"/>
    <x v="3"/>
    <x v="1"/>
    <n v="19908.73"/>
    <s v="22-06-2024"/>
  </r>
  <r>
    <n v="2012"/>
    <x v="3"/>
    <x v="3"/>
    <n v="50360.59"/>
    <s v="24-02-2024"/>
  </r>
  <r>
    <n v="2013"/>
    <x v="5"/>
    <x v="3"/>
    <n v="30435.807390000002"/>
    <s v="21-04-2024"/>
  </r>
  <r>
    <n v="2014"/>
    <x v="4"/>
    <x v="1"/>
    <n v="21235.02"/>
    <s v="27-03-2024"/>
  </r>
  <r>
    <n v="2015"/>
    <x v="2"/>
    <x v="3"/>
    <n v="56066.44"/>
    <s v="09-07-2024"/>
  </r>
  <r>
    <n v="2016"/>
    <x v="5"/>
    <x v="0"/>
    <n v="51168.74"/>
    <s v="04-05-2024"/>
  </r>
  <r>
    <n v="2017"/>
    <x v="5"/>
    <x v="0"/>
    <n v="56836.34"/>
    <s v="16-09-2024"/>
  </r>
  <r>
    <n v="2018"/>
    <x v="2"/>
    <x v="2"/>
    <n v="30137.1"/>
    <s v="04-09-2024"/>
  </r>
  <r>
    <n v="2019"/>
    <x v="5"/>
    <x v="2"/>
    <n v="47431.57"/>
    <s v="10-05-2024"/>
  </r>
  <r>
    <n v="2020"/>
    <x v="5"/>
    <x v="0"/>
    <n v="43680.29"/>
    <s v="29-08-2024"/>
  </r>
  <r>
    <n v="2021"/>
    <x v="2"/>
    <x v="0"/>
    <n v="30511.68"/>
    <s v="25-03-2024"/>
  </r>
  <r>
    <n v="2022"/>
    <x v="2"/>
    <x v="3"/>
    <n v="35864.050000000003"/>
    <s v="20-08-2024"/>
  </r>
  <r>
    <n v="2023"/>
    <x v="2"/>
    <x v="1"/>
    <n v="42532.26"/>
    <s v="02-11-2024"/>
  </r>
  <r>
    <n v="2024"/>
    <x v="1"/>
    <x v="0"/>
    <n v="33011.949999999997"/>
    <s v="04-01-2024"/>
  </r>
  <r>
    <n v="2025"/>
    <x v="3"/>
    <x v="1"/>
    <n v="30518"/>
    <s v="24-09-2024"/>
  </r>
  <r>
    <n v="2026"/>
    <x v="1"/>
    <x v="2"/>
    <n v="37716.68"/>
    <s v="02-02-2024"/>
  </r>
  <r>
    <n v="2027"/>
    <x v="1"/>
    <x v="1"/>
    <n v="42624.3"/>
    <s v="01-10-2024"/>
  </r>
  <r>
    <n v="2028"/>
    <x v="1"/>
    <x v="0"/>
    <n v="44110.06"/>
    <s v="02-05-2024"/>
  </r>
  <r>
    <n v="2029"/>
    <x v="4"/>
    <x v="1"/>
    <n v="53329.58"/>
    <s v="15-05-2024"/>
  </r>
  <r>
    <n v="2030"/>
    <x v="5"/>
    <x v="1"/>
    <n v="35233.480000000003"/>
    <s v="02-02-2024"/>
  </r>
  <r>
    <n v="2031"/>
    <x v="0"/>
    <x v="2"/>
    <n v="36548.17"/>
    <s v="14-11-2024"/>
  </r>
  <r>
    <n v="2032"/>
    <x v="4"/>
    <x v="0"/>
    <n v="55650.52"/>
    <s v="12-12-2024"/>
  </r>
  <r>
    <n v="2033"/>
    <x v="3"/>
    <x v="1"/>
    <n v="39385.78"/>
    <s v="28-07-2024"/>
  </r>
  <r>
    <n v="2034"/>
    <x v="0"/>
    <x v="0"/>
    <n v="40373.72"/>
    <s v="23-01-2024"/>
  </r>
  <r>
    <n v="2035"/>
    <x v="3"/>
    <x v="1"/>
    <n v="3729.45"/>
    <s v="01-07-2024"/>
  </r>
  <r>
    <n v="2036"/>
    <x v="3"/>
    <x v="0"/>
    <n v="19855.78"/>
    <s v="14-09-2024"/>
  </r>
  <r>
    <n v="2037"/>
    <x v="2"/>
    <x v="1"/>
    <n v="12201.31"/>
    <s v="04-04-2024"/>
  </r>
  <r>
    <n v="2038"/>
    <x v="2"/>
    <x v="0"/>
    <n v="22093.29"/>
    <s v="29-03-2024"/>
  </r>
  <r>
    <n v="2039"/>
    <x v="1"/>
    <x v="1"/>
    <n v="11302.04"/>
    <s v="16-02-2024"/>
  </r>
  <r>
    <n v="2040"/>
    <x v="1"/>
    <x v="1"/>
    <n v="5340.24"/>
    <s v="10-05-2024"/>
  </r>
  <r>
    <n v="2041"/>
    <x v="2"/>
    <x v="3"/>
    <n v="17064.849999999999"/>
    <s v="11-11-2024"/>
  </r>
  <r>
    <n v="2042"/>
    <x v="0"/>
    <x v="2"/>
    <n v="56223.66"/>
    <s v="22-08-2024"/>
  </r>
  <r>
    <n v="2043"/>
    <x v="2"/>
    <x v="3"/>
    <n v="39038.480000000003"/>
    <s v="26-09-2024"/>
  </r>
  <r>
    <n v="2044"/>
    <x v="4"/>
    <x v="3"/>
    <n v="30435.807390000002"/>
    <s v="09-01-2024"/>
  </r>
  <r>
    <n v="2045"/>
    <x v="3"/>
    <x v="0"/>
    <n v="57293.77"/>
    <s v="27-01-2024"/>
  </r>
  <r>
    <n v="2046"/>
    <x v="3"/>
    <x v="3"/>
    <n v="7468.54"/>
    <s v="09-02-2024"/>
  </r>
  <r>
    <n v="2047"/>
    <x v="1"/>
    <x v="0"/>
    <n v="11599.07"/>
    <s v="26-11-2024"/>
  </r>
  <r>
    <n v="2048"/>
    <x v="1"/>
    <x v="1"/>
    <n v="13310.46"/>
    <s v="28-01-2024"/>
  </r>
  <r>
    <n v="2049"/>
    <x v="0"/>
    <x v="3"/>
    <n v="23265.87"/>
    <s v="07-10-2024"/>
  </r>
  <r>
    <n v="1208"/>
    <x v="5"/>
    <x v="3"/>
    <n v="49105.919999999998"/>
    <s v="11-09-2024"/>
  </r>
  <r>
    <n v="2051"/>
    <x v="5"/>
    <x v="2"/>
    <n v="12590.04"/>
    <s v="15-01-2024"/>
  </r>
  <r>
    <n v="2052"/>
    <x v="0"/>
    <x v="0"/>
    <n v="32142.21"/>
    <s v="24-02-2024"/>
  </r>
  <r>
    <n v="2053"/>
    <x v="3"/>
    <x v="0"/>
    <n v="55500.84"/>
    <s v="11-06-2024"/>
  </r>
  <r>
    <n v="2054"/>
    <x v="5"/>
    <x v="2"/>
    <n v="27874.6"/>
    <s v="23-11-2024"/>
  </r>
  <r>
    <n v="2055"/>
    <x v="1"/>
    <x v="3"/>
    <n v="51293.39"/>
    <s v="09-09-2024"/>
  </r>
  <r>
    <n v="2056"/>
    <x v="3"/>
    <x v="0"/>
    <n v="13001.37"/>
    <s v="10-10-2024"/>
  </r>
  <r>
    <n v="2057"/>
    <x v="3"/>
    <x v="0"/>
    <n v="59194.65"/>
    <s v="28-11-2024"/>
  </r>
  <r>
    <n v="2058"/>
    <x v="3"/>
    <x v="2"/>
    <n v="15114.17"/>
    <s v="18-08-2024"/>
  </r>
  <r>
    <n v="2059"/>
    <x v="1"/>
    <x v="2"/>
    <n v="15956.13"/>
    <s v="18-12-2024"/>
  </r>
  <r>
    <n v="2060"/>
    <x v="1"/>
    <x v="2"/>
    <n v="33847.21"/>
    <s v="15-12-2024"/>
  </r>
  <r>
    <n v="2061"/>
    <x v="2"/>
    <x v="2"/>
    <n v="49003.33"/>
    <s v="14-06-2024"/>
  </r>
  <r>
    <n v="2062"/>
    <x v="3"/>
    <x v="0"/>
    <n v="25257.79"/>
    <s v="17-10-2024"/>
  </r>
  <r>
    <n v="2063"/>
    <x v="5"/>
    <x v="1"/>
    <n v="30146.69"/>
    <s v="27-10-2024"/>
  </r>
  <r>
    <n v="2064"/>
    <x v="2"/>
    <x v="0"/>
    <n v="30243.58"/>
    <s v="12-07-2024"/>
  </r>
  <r>
    <n v="2065"/>
    <x v="5"/>
    <x v="0"/>
    <n v="1856.39"/>
    <s v="02-07-2024"/>
  </r>
  <r>
    <n v="2066"/>
    <x v="3"/>
    <x v="0"/>
    <n v="1498.64"/>
    <s v="20-09-2024"/>
  </r>
  <r>
    <n v="2067"/>
    <x v="1"/>
    <x v="1"/>
    <n v="30435.807390000002"/>
    <s v="04-01-2024"/>
  </r>
  <r>
    <n v="2068"/>
    <x v="5"/>
    <x v="1"/>
    <n v="30155.3"/>
    <s v="25-07-2024"/>
  </r>
  <r>
    <n v="2069"/>
    <x v="0"/>
    <x v="0"/>
    <n v="27050.51"/>
    <s v="04-02-2024"/>
  </r>
  <r>
    <n v="2070"/>
    <x v="1"/>
    <x v="1"/>
    <n v="14047.71"/>
    <s v="24-02-2024"/>
  </r>
  <r>
    <n v="2071"/>
    <x v="3"/>
    <x v="2"/>
    <n v="6166.96"/>
    <s v="22-08-2024"/>
  </r>
  <r>
    <n v="2072"/>
    <x v="0"/>
    <x v="1"/>
    <n v="27359.42"/>
    <s v="22-08-2024"/>
  </r>
  <r>
    <n v="2073"/>
    <x v="5"/>
    <x v="0"/>
    <n v="19532.48"/>
    <s v="07-03-2024"/>
  </r>
  <r>
    <n v="2074"/>
    <x v="0"/>
    <x v="1"/>
    <n v="36206.660000000003"/>
    <s v="19-03-2024"/>
  </r>
  <r>
    <n v="2075"/>
    <x v="3"/>
    <x v="2"/>
    <n v="29046.18"/>
    <s v="30-05-2024"/>
  </r>
  <r>
    <n v="2076"/>
    <x v="3"/>
    <x v="1"/>
    <n v="59521.68"/>
    <s v="06-11-2024"/>
  </r>
  <r>
    <n v="2077"/>
    <x v="1"/>
    <x v="0"/>
    <n v="49760.77"/>
    <s v="26-07-2024"/>
  </r>
  <r>
    <n v="2078"/>
    <x v="4"/>
    <x v="1"/>
    <n v="8609.76"/>
    <s v="19-11-2024"/>
  </r>
  <r>
    <n v="2079"/>
    <x v="5"/>
    <x v="1"/>
    <n v="14806.31"/>
    <s v="09-08-2024"/>
  </r>
  <r>
    <n v="2080"/>
    <x v="3"/>
    <x v="0"/>
    <n v="45690.67"/>
    <s v="27-12-2024"/>
  </r>
  <r>
    <n v="2081"/>
    <x v="0"/>
    <x v="0"/>
    <n v="19274.02"/>
    <s v="15-11-2024"/>
  </r>
  <r>
    <n v="2082"/>
    <x v="2"/>
    <x v="0"/>
    <n v="14477.13"/>
    <s v="22-07-2024"/>
  </r>
  <r>
    <n v="2083"/>
    <x v="3"/>
    <x v="2"/>
    <n v="42613.09"/>
    <s v="01-06-2024"/>
  </r>
  <r>
    <n v="2084"/>
    <x v="3"/>
    <x v="1"/>
    <n v="45635.78"/>
    <s v="02-01-2024"/>
  </r>
  <r>
    <n v="2085"/>
    <x v="3"/>
    <x v="0"/>
    <n v="40947.35"/>
    <s v="18-07-2024"/>
  </r>
  <r>
    <n v="2086"/>
    <x v="1"/>
    <x v="2"/>
    <n v="48279.77"/>
    <s v="29-01-2024"/>
  </r>
  <r>
    <n v="2087"/>
    <x v="4"/>
    <x v="1"/>
    <n v="4509.33"/>
    <s v="29-12-2024"/>
  </r>
  <r>
    <n v="2088"/>
    <x v="2"/>
    <x v="0"/>
    <n v="51451.46"/>
    <s v="10-01-2024"/>
  </r>
  <r>
    <n v="2089"/>
    <x v="3"/>
    <x v="2"/>
    <n v="44903.47"/>
    <s v="16-08-2024"/>
  </r>
  <r>
    <n v="2090"/>
    <x v="5"/>
    <x v="2"/>
    <n v="57655.72"/>
    <s v="12-01-2024"/>
  </r>
  <r>
    <n v="2091"/>
    <x v="2"/>
    <x v="0"/>
    <n v="51744.34"/>
    <s v="19-11-2024"/>
  </r>
  <r>
    <n v="2092"/>
    <x v="3"/>
    <x v="1"/>
    <n v="30435.807390000002"/>
    <s v="19-09-2024"/>
  </r>
  <r>
    <n v="2093"/>
    <x v="3"/>
    <x v="3"/>
    <n v="41466.699999999997"/>
    <s v="27-03-2024"/>
  </r>
  <r>
    <n v="2094"/>
    <x v="0"/>
    <x v="3"/>
    <n v="57135.12"/>
    <s v="17-01-2024"/>
  </r>
  <r>
    <n v="2095"/>
    <x v="1"/>
    <x v="1"/>
    <n v="51172.24"/>
    <s v="01-12-2024"/>
  </r>
  <r>
    <n v="2096"/>
    <x v="3"/>
    <x v="3"/>
    <n v="54413.99"/>
    <s v="03-11-2024"/>
  </r>
  <r>
    <n v="2097"/>
    <x v="1"/>
    <x v="3"/>
    <n v="23783.200000000001"/>
    <s v="22-08-2024"/>
  </r>
  <r>
    <n v="2098"/>
    <x v="3"/>
    <x v="3"/>
    <n v="30477.49"/>
    <s v="16-01-2024"/>
  </r>
  <r>
    <n v="2099"/>
    <x v="2"/>
    <x v="3"/>
    <n v="49781.62"/>
    <s v="05-11-2024"/>
  </r>
  <r>
    <n v="2100"/>
    <x v="3"/>
    <x v="0"/>
    <n v="1014.33"/>
    <s v="02-05-2024"/>
  </r>
  <r>
    <n v="2101"/>
    <x v="1"/>
    <x v="0"/>
    <n v="23042.73"/>
    <s v="07-12-2024"/>
  </r>
  <r>
    <n v="2102"/>
    <x v="5"/>
    <x v="3"/>
    <n v="8095.99"/>
    <s v="21-08-2024"/>
  </r>
  <r>
    <n v="2103"/>
    <x v="2"/>
    <x v="0"/>
    <n v="47094.16"/>
    <s v="29-03-2024"/>
  </r>
  <r>
    <n v="2104"/>
    <x v="3"/>
    <x v="0"/>
    <n v="42686.44"/>
    <s v="08-04-2024"/>
  </r>
  <r>
    <n v="2105"/>
    <x v="5"/>
    <x v="0"/>
    <n v="25817.18"/>
    <s v="23-10-2024"/>
  </r>
  <r>
    <n v="1810"/>
    <x v="0"/>
    <x v="2"/>
    <n v="37541.550000000003"/>
    <s v="28-01-2024"/>
  </r>
  <r>
    <n v="2107"/>
    <x v="1"/>
    <x v="2"/>
    <n v="44100.36"/>
    <s v="06-12-2024"/>
  </r>
  <r>
    <n v="2108"/>
    <x v="3"/>
    <x v="0"/>
    <n v="21086.02"/>
    <s v="24-09-2024"/>
  </r>
  <r>
    <n v="2109"/>
    <x v="0"/>
    <x v="0"/>
    <n v="52530.1"/>
    <s v="29-09-2024"/>
  </r>
  <r>
    <n v="2110"/>
    <x v="0"/>
    <x v="3"/>
    <n v="41651"/>
    <s v="20-03-2024"/>
  </r>
  <r>
    <n v="2111"/>
    <x v="5"/>
    <x v="3"/>
    <n v="40180.370000000003"/>
    <s v="01-01-2024"/>
  </r>
  <r>
    <n v="2112"/>
    <x v="3"/>
    <x v="3"/>
    <n v="1934.45"/>
    <s v="08-09-2024"/>
  </r>
  <r>
    <n v="2113"/>
    <x v="1"/>
    <x v="2"/>
    <n v="55795.03"/>
    <s v="03-02-2024"/>
  </r>
  <r>
    <n v="2114"/>
    <x v="0"/>
    <x v="0"/>
    <n v="8422.34"/>
    <s v="26-03-2024"/>
  </r>
  <r>
    <n v="2115"/>
    <x v="0"/>
    <x v="2"/>
    <n v="27123.13"/>
    <s v="04-11-2024"/>
  </r>
  <r>
    <n v="2116"/>
    <x v="2"/>
    <x v="1"/>
    <n v="2441.19"/>
    <s v="13-11-2024"/>
  </r>
  <r>
    <n v="2117"/>
    <x v="0"/>
    <x v="0"/>
    <n v="55366.01"/>
    <s v="09-08-2024"/>
  </r>
  <r>
    <n v="2118"/>
    <x v="1"/>
    <x v="0"/>
    <n v="58880.74"/>
    <s v="08-11-2024"/>
  </r>
  <r>
    <n v="2119"/>
    <x v="1"/>
    <x v="3"/>
    <n v="30435.807390000002"/>
    <s v="29-07-2024"/>
  </r>
  <r>
    <n v="2120"/>
    <x v="1"/>
    <x v="1"/>
    <n v="21206.04"/>
    <s v="29-11-2024"/>
  </r>
  <r>
    <n v="2121"/>
    <x v="5"/>
    <x v="0"/>
    <n v="30435.807390000002"/>
    <s v="29-09-2024"/>
  </r>
  <r>
    <n v="2122"/>
    <x v="5"/>
    <x v="1"/>
    <n v="35679.93"/>
    <s v="18-05-2024"/>
  </r>
  <r>
    <n v="2123"/>
    <x v="3"/>
    <x v="0"/>
    <n v="26780.34"/>
    <s v="12-06-2024"/>
  </r>
  <r>
    <n v="2124"/>
    <x v="1"/>
    <x v="3"/>
    <n v="39020.97"/>
    <s v="26-06-2024"/>
  </r>
  <r>
    <n v="2125"/>
    <x v="5"/>
    <x v="2"/>
    <n v="30435.807390000002"/>
    <s v="26-10-2024"/>
  </r>
  <r>
    <n v="2126"/>
    <x v="1"/>
    <x v="1"/>
    <n v="38757.43"/>
    <s v="09-11-2024"/>
  </r>
  <r>
    <n v="2127"/>
    <x v="3"/>
    <x v="2"/>
    <n v="30203.98"/>
    <s v="06-10-2024"/>
  </r>
  <r>
    <n v="2128"/>
    <x v="3"/>
    <x v="2"/>
    <n v="54282.75"/>
    <s v="21-12-2024"/>
  </r>
  <r>
    <n v="2129"/>
    <x v="2"/>
    <x v="0"/>
    <n v="24505.63"/>
    <s v="16-09-2024"/>
  </r>
  <r>
    <n v="2130"/>
    <x v="1"/>
    <x v="3"/>
    <n v="11608.07"/>
    <s v="03-09-2024"/>
  </r>
  <r>
    <n v="2131"/>
    <x v="4"/>
    <x v="1"/>
    <n v="6785.41"/>
    <s v="04-11-2024"/>
  </r>
  <r>
    <n v="2132"/>
    <x v="1"/>
    <x v="1"/>
    <n v="17633.84"/>
    <s v="29-06-2024"/>
  </r>
  <r>
    <n v="2133"/>
    <x v="3"/>
    <x v="1"/>
    <n v="30435.807390000002"/>
    <s v="31-07-2024"/>
  </r>
  <r>
    <n v="2134"/>
    <x v="1"/>
    <x v="0"/>
    <n v="29087.47"/>
    <s v="12-10-2024"/>
  </r>
  <r>
    <n v="2135"/>
    <x v="2"/>
    <x v="0"/>
    <n v="10475.59"/>
    <s v="30-08-2024"/>
  </r>
  <r>
    <n v="2136"/>
    <x v="0"/>
    <x v="2"/>
    <n v="58556.11"/>
    <s v="10-07-2024"/>
  </r>
  <r>
    <n v="2137"/>
    <x v="0"/>
    <x v="1"/>
    <n v="45029.01"/>
    <s v="21-09-2024"/>
  </r>
  <r>
    <n v="2138"/>
    <x v="2"/>
    <x v="0"/>
    <n v="22652.6"/>
    <s v="18-06-2024"/>
  </r>
  <r>
    <n v="2139"/>
    <x v="0"/>
    <x v="3"/>
    <n v="4921.91"/>
    <s v="07-02-2024"/>
  </r>
  <r>
    <n v="2140"/>
    <x v="2"/>
    <x v="2"/>
    <n v="53375.74"/>
    <s v="08-01-2024"/>
  </r>
  <r>
    <n v="2141"/>
    <x v="5"/>
    <x v="3"/>
    <n v="1680.03"/>
    <s v="02-05-2024"/>
  </r>
  <r>
    <n v="2142"/>
    <x v="4"/>
    <x v="3"/>
    <n v="30435.807390000002"/>
    <s v="11-01-2024"/>
  </r>
  <r>
    <n v="2143"/>
    <x v="1"/>
    <x v="0"/>
    <n v="20695.080000000002"/>
    <s v="11-09-2024"/>
  </r>
  <r>
    <n v="2144"/>
    <x v="0"/>
    <x v="1"/>
    <n v="11599.9"/>
    <s v="12-08-2024"/>
  </r>
  <r>
    <n v="2145"/>
    <x v="3"/>
    <x v="2"/>
    <n v="41994.42"/>
    <s v="24-02-2024"/>
  </r>
  <r>
    <n v="2146"/>
    <x v="1"/>
    <x v="0"/>
    <n v="44831.03"/>
    <s v="21-06-2024"/>
  </r>
  <r>
    <n v="2147"/>
    <x v="2"/>
    <x v="0"/>
    <n v="31690.66"/>
    <s v="01-12-2024"/>
  </r>
  <r>
    <n v="2148"/>
    <x v="1"/>
    <x v="0"/>
    <n v="43554.22"/>
    <s v="05-08-2024"/>
  </r>
  <r>
    <n v="2149"/>
    <x v="3"/>
    <x v="1"/>
    <n v="25751.31"/>
    <s v="12-06-2024"/>
  </r>
  <r>
    <n v="2150"/>
    <x v="2"/>
    <x v="2"/>
    <n v="48807.89"/>
    <s v="01-09-2024"/>
  </r>
  <r>
    <n v="2151"/>
    <x v="1"/>
    <x v="0"/>
    <n v="19650.189999999999"/>
    <s v="02-11-2024"/>
  </r>
  <r>
    <n v="2152"/>
    <x v="1"/>
    <x v="1"/>
    <n v="30435.807390000002"/>
    <s v="29-02-2024"/>
  </r>
  <r>
    <n v="2153"/>
    <x v="3"/>
    <x v="0"/>
    <n v="19839.7"/>
    <s v="17-02-2024"/>
  </r>
  <r>
    <n v="2154"/>
    <x v="2"/>
    <x v="3"/>
    <n v="47836.75"/>
    <s v="06-02-2024"/>
  </r>
  <r>
    <n v="2155"/>
    <x v="0"/>
    <x v="3"/>
    <n v="38474.26"/>
    <s v="22-05-2024"/>
  </r>
  <r>
    <n v="2156"/>
    <x v="5"/>
    <x v="3"/>
    <n v="9038.7800000000007"/>
    <s v="19-11-2024"/>
  </r>
  <r>
    <n v="2157"/>
    <x v="2"/>
    <x v="1"/>
    <n v="36095.129999999997"/>
    <s v="18-10-2024"/>
  </r>
  <r>
    <n v="2158"/>
    <x v="2"/>
    <x v="1"/>
    <n v="6371.14"/>
    <s v="18-02-2024"/>
  </r>
  <r>
    <n v="2159"/>
    <x v="0"/>
    <x v="2"/>
    <n v="49864.55"/>
    <s v="04-11-2024"/>
  </r>
  <r>
    <n v="2160"/>
    <x v="2"/>
    <x v="3"/>
    <n v="29781.55"/>
    <s v="12-05-2024"/>
  </r>
  <r>
    <n v="2161"/>
    <x v="0"/>
    <x v="2"/>
    <n v="51802.71"/>
    <s v="28-05-2024"/>
  </r>
  <r>
    <n v="2162"/>
    <x v="2"/>
    <x v="1"/>
    <n v="10359.59"/>
    <s v="10-05-2024"/>
  </r>
  <r>
    <n v="2163"/>
    <x v="3"/>
    <x v="3"/>
    <n v="31271.56"/>
    <s v="23-06-2024"/>
  </r>
  <r>
    <n v="2164"/>
    <x v="1"/>
    <x v="0"/>
    <n v="30435.807390000002"/>
    <s v="26-11-2024"/>
  </r>
  <r>
    <n v="2165"/>
    <x v="2"/>
    <x v="0"/>
    <n v="51812.7"/>
    <s v="22-09-2024"/>
  </r>
  <r>
    <n v="2166"/>
    <x v="5"/>
    <x v="0"/>
    <n v="22808.94"/>
    <s v="27-03-2024"/>
  </r>
  <r>
    <n v="2167"/>
    <x v="5"/>
    <x v="1"/>
    <n v="6764.73"/>
    <s v="27-09-2024"/>
  </r>
  <r>
    <n v="2168"/>
    <x v="2"/>
    <x v="0"/>
    <n v="50212.58"/>
    <s v="05-04-2024"/>
  </r>
  <r>
    <n v="2169"/>
    <x v="5"/>
    <x v="1"/>
    <n v="14068.12"/>
    <s v="14-06-2024"/>
  </r>
  <r>
    <n v="2170"/>
    <x v="5"/>
    <x v="0"/>
    <n v="36651.31"/>
    <s v="07-09-2024"/>
  </r>
  <r>
    <n v="2171"/>
    <x v="3"/>
    <x v="1"/>
    <n v="55705.18"/>
    <s v="01-01-2024"/>
  </r>
  <r>
    <n v="2172"/>
    <x v="3"/>
    <x v="2"/>
    <n v="22916.34"/>
    <s v="09-09-2024"/>
  </r>
  <r>
    <n v="2173"/>
    <x v="1"/>
    <x v="2"/>
    <n v="1483.7"/>
    <s v="30-08-2024"/>
  </r>
  <r>
    <n v="2174"/>
    <x v="3"/>
    <x v="3"/>
    <n v="56883.07"/>
    <s v="22-09-2024"/>
  </r>
  <r>
    <n v="2175"/>
    <x v="3"/>
    <x v="1"/>
    <n v="9755.7000000000007"/>
    <s v="26-05-2024"/>
  </r>
  <r>
    <n v="2187"/>
    <x v="3"/>
    <x v="2"/>
    <n v="20878.39"/>
    <s v="28-01-2024"/>
  </r>
  <r>
    <n v="2177"/>
    <x v="0"/>
    <x v="2"/>
    <n v="30435.807390000002"/>
    <s v="18-12-2024"/>
  </r>
  <r>
    <n v="1599"/>
    <x v="2"/>
    <x v="3"/>
    <n v="35778.78"/>
    <s v="27-11-2024"/>
  </r>
  <r>
    <n v="2179"/>
    <x v="5"/>
    <x v="0"/>
    <n v="30760.84"/>
    <s v="31-03-2024"/>
  </r>
  <r>
    <n v="2180"/>
    <x v="1"/>
    <x v="3"/>
    <n v="50142.97"/>
    <s v="14-08-2024"/>
  </r>
  <r>
    <n v="2181"/>
    <x v="2"/>
    <x v="2"/>
    <n v="19481.79"/>
    <s v="13-10-2024"/>
  </r>
  <r>
    <n v="2182"/>
    <x v="2"/>
    <x v="3"/>
    <n v="39781.81"/>
    <s v="13-01-2024"/>
  </r>
  <r>
    <n v="2183"/>
    <x v="3"/>
    <x v="3"/>
    <n v="29359.54"/>
    <s v="09-05-2024"/>
  </r>
  <r>
    <n v="2184"/>
    <x v="3"/>
    <x v="0"/>
    <n v="26478.78"/>
    <s v="09-05-2024"/>
  </r>
  <r>
    <n v="2185"/>
    <x v="5"/>
    <x v="1"/>
    <n v="42764.959999999999"/>
    <s v="20-06-2024"/>
  </r>
  <r>
    <n v="2186"/>
    <x v="3"/>
    <x v="3"/>
    <n v="14599.2"/>
    <s v="29-04-2024"/>
  </r>
  <r>
    <n v="2187"/>
    <x v="3"/>
    <x v="0"/>
    <n v="15686.81"/>
    <s v="22-08-2024"/>
  </r>
  <r>
    <n v="2188"/>
    <x v="2"/>
    <x v="3"/>
    <n v="16531.52"/>
    <s v="23-02-2024"/>
  </r>
  <r>
    <n v="2189"/>
    <x v="0"/>
    <x v="0"/>
    <n v="17435.509999999998"/>
    <s v="26-09-2024"/>
  </r>
  <r>
    <n v="2190"/>
    <x v="1"/>
    <x v="0"/>
    <n v="28833.62"/>
    <s v="26-04-2024"/>
  </r>
  <r>
    <n v="2191"/>
    <x v="1"/>
    <x v="1"/>
    <n v="31044.13"/>
    <s v="06-09-2024"/>
  </r>
  <r>
    <n v="2192"/>
    <x v="3"/>
    <x v="1"/>
    <n v="29120.61"/>
    <s v="29-07-2024"/>
  </r>
  <r>
    <n v="2193"/>
    <x v="3"/>
    <x v="0"/>
    <n v="13908.87"/>
    <s v="22-10-2024"/>
  </r>
  <r>
    <n v="2194"/>
    <x v="3"/>
    <x v="1"/>
    <n v="30435.807390000002"/>
    <s v="20-06-2024"/>
  </r>
  <r>
    <n v="2195"/>
    <x v="3"/>
    <x v="3"/>
    <n v="5948.55"/>
    <s v="01-08-2024"/>
  </r>
  <r>
    <n v="2196"/>
    <x v="3"/>
    <x v="2"/>
    <n v="32520.58"/>
    <s v="03-08-2024"/>
  </r>
  <r>
    <n v="2197"/>
    <x v="1"/>
    <x v="1"/>
    <n v="56670.35"/>
    <s v="12-04-2024"/>
  </r>
  <r>
    <n v="2198"/>
    <x v="1"/>
    <x v="1"/>
    <n v="34029.660000000003"/>
    <s v="04-05-2024"/>
  </r>
  <r>
    <n v="2199"/>
    <x v="2"/>
    <x v="2"/>
    <n v="3647.98"/>
    <s v="06-02-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1:B7" firstHeaderRow="1" firstDataRow="1" firstDataCol="1"/>
  <pivotFields count="5">
    <pivotField showAll="0"/>
    <pivotField showAll="0"/>
    <pivotField axis="axisRow" dataField="1" showAll="0">
      <items count="6">
        <item x="1"/>
        <item x="3"/>
        <item x="0"/>
        <item x="2"/>
        <item x="4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gion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Products">
  <location ref="K3:L10" firstHeaderRow="1" firstDataRow="1" firstDataCol="1"/>
  <pivotFields count="5">
    <pivotField showAll="0"/>
    <pivotField axis="axisRow" showAll="0">
      <items count="7">
        <item x="5"/>
        <item x="1"/>
        <item x="0"/>
        <item x="3"/>
        <item x="2"/>
        <item x="4"/>
        <item t="default"/>
      </items>
    </pivotField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 rowHeaderCaption="Region">
  <location ref="A3:B8" firstHeaderRow="1" firstDataRow="1" firstDataCol="1"/>
  <pivotFields count="5"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2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22" sqref="A22:B22"/>
    </sheetView>
  </sheetViews>
  <sheetFormatPr defaultRowHeight="14.4" x14ac:dyDescent="0.3"/>
  <cols>
    <col min="1" max="1" width="17.44140625" bestFit="1" customWidth="1"/>
    <col min="2" max="2" width="14.6640625" bestFit="1" customWidth="1"/>
  </cols>
  <sheetData>
    <row r="1" spans="1:2" x14ac:dyDescent="0.3">
      <c r="A1" s="2" t="s">
        <v>728</v>
      </c>
      <c r="B1" t="s">
        <v>731</v>
      </c>
    </row>
    <row r="2" spans="1:2" x14ac:dyDescent="0.3">
      <c r="A2" s="3" t="s">
        <v>11</v>
      </c>
      <c r="B2" s="4">
        <v>275</v>
      </c>
    </row>
    <row r="3" spans="1:2" x14ac:dyDescent="0.3">
      <c r="A3" s="3" t="s">
        <v>13</v>
      </c>
      <c r="B3" s="4">
        <v>292</v>
      </c>
    </row>
    <row r="4" spans="1:2" x14ac:dyDescent="0.3">
      <c r="A4" s="3" t="s">
        <v>10</v>
      </c>
      <c r="B4" s="4">
        <v>299</v>
      </c>
    </row>
    <row r="5" spans="1:2" x14ac:dyDescent="0.3">
      <c r="A5" s="3" t="s">
        <v>12</v>
      </c>
      <c r="B5" s="4">
        <v>289</v>
      </c>
    </row>
    <row r="6" spans="1:2" x14ac:dyDescent="0.3">
      <c r="A6" s="3" t="s">
        <v>729</v>
      </c>
      <c r="B6" s="4"/>
    </row>
    <row r="7" spans="1:2" x14ac:dyDescent="0.3">
      <c r="A7" s="3" t="s">
        <v>730</v>
      </c>
      <c r="B7" s="4">
        <v>1155</v>
      </c>
    </row>
    <row r="21" spans="1:2" x14ac:dyDescent="0.3">
      <c r="A21" t="s">
        <v>732</v>
      </c>
      <c r="B21">
        <f>AVERAGE(Raw_Data!D:D)</f>
        <v>30435.807388255933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>
      <selection activeCell="E3" sqref="E3"/>
    </sheetView>
  </sheetViews>
  <sheetFormatPr defaultRowHeight="14.4" x14ac:dyDescent="0.3"/>
  <cols>
    <col min="5" max="5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1000</v>
      </c>
      <c r="B2" t="s">
        <v>5</v>
      </c>
      <c r="C2" t="s">
        <v>10</v>
      </c>
      <c r="D2">
        <v>10205.1</v>
      </c>
      <c r="E2" s="5">
        <v>45506</v>
      </c>
    </row>
    <row r="3" spans="1:5" x14ac:dyDescent="0.3">
      <c r="A3">
        <v>1001</v>
      </c>
      <c r="B3" t="s">
        <v>6</v>
      </c>
      <c r="C3" t="s">
        <v>11</v>
      </c>
      <c r="E3" t="s">
        <v>14</v>
      </c>
    </row>
    <row r="4" spans="1:5" x14ac:dyDescent="0.3">
      <c r="A4">
        <v>1084</v>
      </c>
      <c r="B4" t="s">
        <v>6</v>
      </c>
      <c r="C4" t="s">
        <v>12</v>
      </c>
      <c r="D4">
        <v>1416.91</v>
      </c>
      <c r="E4" t="s">
        <v>15</v>
      </c>
    </row>
    <row r="5" spans="1:5" x14ac:dyDescent="0.3">
      <c r="A5">
        <v>1003</v>
      </c>
      <c r="B5" t="s">
        <v>6</v>
      </c>
      <c r="C5" t="s">
        <v>13</v>
      </c>
      <c r="D5">
        <v>27908.13</v>
      </c>
      <c r="E5" t="s">
        <v>16</v>
      </c>
    </row>
    <row r="6" spans="1:5" x14ac:dyDescent="0.3">
      <c r="A6">
        <v>1004</v>
      </c>
      <c r="B6" t="s">
        <v>7</v>
      </c>
      <c r="C6" t="s">
        <v>10</v>
      </c>
      <c r="D6">
        <v>27579.46</v>
      </c>
      <c r="E6" t="s">
        <v>17</v>
      </c>
    </row>
    <row r="7" spans="1:5" x14ac:dyDescent="0.3">
      <c r="A7">
        <v>1005</v>
      </c>
      <c r="B7" t="s">
        <v>8</v>
      </c>
      <c r="C7" t="s">
        <v>12</v>
      </c>
      <c r="D7">
        <v>26969</v>
      </c>
      <c r="E7" t="s">
        <v>18</v>
      </c>
    </row>
    <row r="8" spans="1:5" x14ac:dyDescent="0.3">
      <c r="A8">
        <v>1006</v>
      </c>
      <c r="B8" t="s">
        <v>7</v>
      </c>
      <c r="C8" t="s">
        <v>11</v>
      </c>
      <c r="D8">
        <v>31684.01</v>
      </c>
      <c r="E8" t="s">
        <v>19</v>
      </c>
    </row>
    <row r="9" spans="1:5" x14ac:dyDescent="0.3">
      <c r="A9">
        <v>1007</v>
      </c>
      <c r="B9" t="s">
        <v>8</v>
      </c>
      <c r="C9" t="s">
        <v>11</v>
      </c>
      <c r="D9">
        <v>43909.05</v>
      </c>
      <c r="E9" t="s">
        <v>20</v>
      </c>
    </row>
    <row r="10" spans="1:5" x14ac:dyDescent="0.3">
      <c r="A10">
        <v>1008</v>
      </c>
      <c r="C10" t="s">
        <v>11</v>
      </c>
      <c r="D10">
        <v>17009.59</v>
      </c>
      <c r="E10" t="s">
        <v>21</v>
      </c>
    </row>
    <row r="11" spans="1:5" x14ac:dyDescent="0.3">
      <c r="A11">
        <v>1009</v>
      </c>
      <c r="B11" t="s">
        <v>7</v>
      </c>
      <c r="C11" t="s">
        <v>12</v>
      </c>
      <c r="D11">
        <v>1922.55</v>
      </c>
      <c r="E11" t="s">
        <v>22</v>
      </c>
    </row>
    <row r="12" spans="1:5" x14ac:dyDescent="0.3">
      <c r="A12">
        <v>1542</v>
      </c>
      <c r="B12" t="s">
        <v>9</v>
      </c>
      <c r="C12" t="s">
        <v>13</v>
      </c>
      <c r="D12">
        <v>46504.95</v>
      </c>
      <c r="E12" t="s">
        <v>23</v>
      </c>
    </row>
    <row r="13" spans="1:5" x14ac:dyDescent="0.3">
      <c r="A13">
        <v>1011</v>
      </c>
      <c r="B13" t="s">
        <v>6</v>
      </c>
      <c r="C13" t="s">
        <v>13</v>
      </c>
      <c r="D13">
        <v>22878.28</v>
      </c>
      <c r="E13" t="s">
        <v>24</v>
      </c>
    </row>
    <row r="14" spans="1:5" x14ac:dyDescent="0.3">
      <c r="A14">
        <v>1012</v>
      </c>
      <c r="B14" t="s">
        <v>6</v>
      </c>
      <c r="C14" t="s">
        <v>13</v>
      </c>
      <c r="D14">
        <v>43081.440000000002</v>
      </c>
      <c r="E14" t="s">
        <v>25</v>
      </c>
    </row>
    <row r="15" spans="1:5" x14ac:dyDescent="0.3">
      <c r="A15">
        <v>1013</v>
      </c>
      <c r="C15" t="s">
        <v>12</v>
      </c>
      <c r="D15">
        <v>26920.85</v>
      </c>
      <c r="E15" t="s">
        <v>26</v>
      </c>
    </row>
    <row r="16" spans="1:5" x14ac:dyDescent="0.3">
      <c r="A16">
        <v>1014</v>
      </c>
      <c r="B16" t="s">
        <v>6</v>
      </c>
      <c r="C16" t="s">
        <v>12</v>
      </c>
      <c r="D16">
        <v>15708.24</v>
      </c>
      <c r="E16" t="s">
        <v>27</v>
      </c>
    </row>
    <row r="17" spans="1:5" x14ac:dyDescent="0.3">
      <c r="A17">
        <v>1015</v>
      </c>
      <c r="B17" t="s">
        <v>6</v>
      </c>
      <c r="C17" t="s">
        <v>11</v>
      </c>
      <c r="D17">
        <v>37836.89</v>
      </c>
      <c r="E17" t="s">
        <v>24</v>
      </c>
    </row>
    <row r="18" spans="1:5" x14ac:dyDescent="0.3">
      <c r="A18">
        <v>1016</v>
      </c>
      <c r="B18" t="s">
        <v>7</v>
      </c>
      <c r="C18" t="s">
        <v>10</v>
      </c>
      <c r="D18">
        <v>48638.97</v>
      </c>
      <c r="E18" t="s">
        <v>28</v>
      </c>
    </row>
    <row r="19" spans="1:5" x14ac:dyDescent="0.3">
      <c r="A19">
        <v>1017</v>
      </c>
      <c r="B19" t="s">
        <v>9</v>
      </c>
      <c r="D19">
        <v>18982.09</v>
      </c>
      <c r="E19" t="s">
        <v>29</v>
      </c>
    </row>
    <row r="20" spans="1:5" x14ac:dyDescent="0.3">
      <c r="A20">
        <v>1018</v>
      </c>
      <c r="B20" t="s">
        <v>6</v>
      </c>
      <c r="C20" t="s">
        <v>13</v>
      </c>
      <c r="D20">
        <v>20068.97</v>
      </c>
      <c r="E20" t="s">
        <v>30</v>
      </c>
    </row>
    <row r="21" spans="1:5" x14ac:dyDescent="0.3">
      <c r="A21">
        <v>1019</v>
      </c>
      <c r="B21" t="s">
        <v>6</v>
      </c>
      <c r="C21" t="s">
        <v>13</v>
      </c>
      <c r="D21">
        <v>43023.96</v>
      </c>
      <c r="E21" t="s">
        <v>31</v>
      </c>
    </row>
    <row r="22" spans="1:5" x14ac:dyDescent="0.3">
      <c r="A22">
        <v>1020</v>
      </c>
      <c r="B22" t="s">
        <v>5</v>
      </c>
      <c r="C22" t="s">
        <v>11</v>
      </c>
      <c r="D22">
        <v>17440.14</v>
      </c>
      <c r="E22" t="s">
        <v>32</v>
      </c>
    </row>
    <row r="23" spans="1:5" x14ac:dyDescent="0.3">
      <c r="A23">
        <v>1021</v>
      </c>
      <c r="B23" t="s">
        <v>6</v>
      </c>
      <c r="C23" t="s">
        <v>10</v>
      </c>
      <c r="D23">
        <v>5770.35</v>
      </c>
      <c r="E23" t="s">
        <v>33</v>
      </c>
    </row>
    <row r="24" spans="1:5" x14ac:dyDescent="0.3">
      <c r="A24">
        <v>1022</v>
      </c>
      <c r="B24" t="s">
        <v>5</v>
      </c>
      <c r="C24" t="s">
        <v>11</v>
      </c>
      <c r="D24">
        <v>32610.71</v>
      </c>
      <c r="E24" t="s">
        <v>34</v>
      </c>
    </row>
    <row r="25" spans="1:5" x14ac:dyDescent="0.3">
      <c r="A25">
        <v>1023</v>
      </c>
      <c r="B25" t="s">
        <v>8</v>
      </c>
      <c r="C25" t="s">
        <v>12</v>
      </c>
      <c r="D25">
        <v>13994.22</v>
      </c>
      <c r="E25" t="s">
        <v>35</v>
      </c>
    </row>
    <row r="26" spans="1:5" x14ac:dyDescent="0.3">
      <c r="A26">
        <v>1024</v>
      </c>
      <c r="B26" t="s">
        <v>8</v>
      </c>
      <c r="C26" t="s">
        <v>13</v>
      </c>
      <c r="D26">
        <v>56267.07</v>
      </c>
      <c r="E26" t="s">
        <v>36</v>
      </c>
    </row>
    <row r="27" spans="1:5" x14ac:dyDescent="0.3">
      <c r="A27">
        <v>1025</v>
      </c>
      <c r="B27" t="s">
        <v>8</v>
      </c>
      <c r="C27" t="s">
        <v>11</v>
      </c>
      <c r="D27">
        <v>11322.34</v>
      </c>
      <c r="E27" t="s">
        <v>37</v>
      </c>
    </row>
    <row r="28" spans="1:5" x14ac:dyDescent="0.3">
      <c r="A28">
        <v>1026</v>
      </c>
      <c r="B28" t="s">
        <v>9</v>
      </c>
      <c r="C28" t="s">
        <v>10</v>
      </c>
      <c r="D28">
        <v>38352.99</v>
      </c>
      <c r="E28" t="s">
        <v>38</v>
      </c>
    </row>
    <row r="29" spans="1:5" x14ac:dyDescent="0.3">
      <c r="A29">
        <v>1027</v>
      </c>
      <c r="B29" t="s">
        <v>9</v>
      </c>
      <c r="C29" t="s">
        <v>13</v>
      </c>
      <c r="D29">
        <v>53378.44</v>
      </c>
      <c r="E29" t="s">
        <v>39</v>
      </c>
    </row>
    <row r="30" spans="1:5" x14ac:dyDescent="0.3">
      <c r="A30">
        <v>1028</v>
      </c>
      <c r="B30" t="s">
        <v>7</v>
      </c>
      <c r="C30" t="s">
        <v>11</v>
      </c>
      <c r="E30" t="s">
        <v>40</v>
      </c>
    </row>
    <row r="31" spans="1:5" x14ac:dyDescent="0.3">
      <c r="A31">
        <v>1029</v>
      </c>
      <c r="B31" t="s">
        <v>5</v>
      </c>
      <c r="C31" t="s">
        <v>10</v>
      </c>
      <c r="D31">
        <v>11379.59</v>
      </c>
      <c r="E31" t="s">
        <v>41</v>
      </c>
    </row>
    <row r="32" spans="1:5" x14ac:dyDescent="0.3">
      <c r="A32">
        <v>1030</v>
      </c>
      <c r="B32" t="s">
        <v>9</v>
      </c>
      <c r="C32" t="s">
        <v>13</v>
      </c>
      <c r="D32">
        <v>39799.160000000003</v>
      </c>
      <c r="E32" t="s">
        <v>42</v>
      </c>
    </row>
    <row r="33" spans="1:5" x14ac:dyDescent="0.3">
      <c r="A33">
        <v>1031</v>
      </c>
      <c r="B33" t="s">
        <v>5</v>
      </c>
      <c r="C33" t="s">
        <v>12</v>
      </c>
      <c r="D33">
        <v>29717.79</v>
      </c>
      <c r="E33" t="s">
        <v>43</v>
      </c>
    </row>
    <row r="34" spans="1:5" x14ac:dyDescent="0.3">
      <c r="A34">
        <v>1032</v>
      </c>
      <c r="B34" t="s">
        <v>5</v>
      </c>
      <c r="C34" t="s">
        <v>12</v>
      </c>
      <c r="D34">
        <v>43624.67</v>
      </c>
      <c r="E34" t="s">
        <v>44</v>
      </c>
    </row>
    <row r="35" spans="1:5" x14ac:dyDescent="0.3">
      <c r="A35">
        <v>1033</v>
      </c>
      <c r="B35" t="s">
        <v>9</v>
      </c>
      <c r="C35" t="s">
        <v>10</v>
      </c>
      <c r="D35">
        <v>53126.15</v>
      </c>
      <c r="E35" t="s">
        <v>45</v>
      </c>
    </row>
    <row r="36" spans="1:5" x14ac:dyDescent="0.3">
      <c r="A36">
        <v>1034</v>
      </c>
      <c r="B36" t="s">
        <v>8</v>
      </c>
      <c r="C36" t="s">
        <v>13</v>
      </c>
      <c r="D36">
        <v>19036.12</v>
      </c>
      <c r="E36" t="s">
        <v>46</v>
      </c>
    </row>
    <row r="37" spans="1:5" x14ac:dyDescent="0.3">
      <c r="A37">
        <v>1035</v>
      </c>
      <c r="B37" t="s">
        <v>9</v>
      </c>
      <c r="C37" t="s">
        <v>10</v>
      </c>
      <c r="D37">
        <v>6733.41</v>
      </c>
      <c r="E37" t="s">
        <v>47</v>
      </c>
    </row>
    <row r="38" spans="1:5" x14ac:dyDescent="0.3">
      <c r="A38">
        <v>1036</v>
      </c>
      <c r="B38" t="s">
        <v>9</v>
      </c>
      <c r="C38" t="s">
        <v>10</v>
      </c>
      <c r="D38">
        <v>9060.66</v>
      </c>
      <c r="E38" t="s">
        <v>48</v>
      </c>
    </row>
    <row r="39" spans="1:5" x14ac:dyDescent="0.3">
      <c r="A39">
        <v>1037</v>
      </c>
      <c r="B39" t="s">
        <v>8</v>
      </c>
      <c r="C39" t="s">
        <v>10</v>
      </c>
      <c r="D39">
        <v>31169.200000000001</v>
      </c>
      <c r="E39" t="s">
        <v>49</v>
      </c>
    </row>
    <row r="40" spans="1:5" x14ac:dyDescent="0.3">
      <c r="A40">
        <v>1038</v>
      </c>
      <c r="B40" t="s">
        <v>5</v>
      </c>
      <c r="C40" t="s">
        <v>11</v>
      </c>
      <c r="D40">
        <v>2629.39</v>
      </c>
      <c r="E40" t="s">
        <v>50</v>
      </c>
    </row>
    <row r="41" spans="1:5" x14ac:dyDescent="0.3">
      <c r="A41">
        <v>1039</v>
      </c>
      <c r="C41" t="s">
        <v>11</v>
      </c>
      <c r="D41">
        <v>17905.93</v>
      </c>
      <c r="E41" t="s">
        <v>51</v>
      </c>
    </row>
    <row r="42" spans="1:5" x14ac:dyDescent="0.3">
      <c r="A42">
        <v>1040</v>
      </c>
      <c r="B42" t="s">
        <v>8</v>
      </c>
      <c r="C42" t="s">
        <v>11</v>
      </c>
      <c r="D42">
        <v>49844.27</v>
      </c>
      <c r="E42" t="s">
        <v>52</v>
      </c>
    </row>
    <row r="43" spans="1:5" x14ac:dyDescent="0.3">
      <c r="A43">
        <v>1041</v>
      </c>
      <c r="B43" t="s">
        <v>6</v>
      </c>
      <c r="C43" t="s">
        <v>11</v>
      </c>
      <c r="D43">
        <v>32897.47</v>
      </c>
      <c r="E43" t="s">
        <v>53</v>
      </c>
    </row>
    <row r="44" spans="1:5" x14ac:dyDescent="0.3">
      <c r="A44">
        <v>1042</v>
      </c>
      <c r="B44" t="s">
        <v>7</v>
      </c>
      <c r="C44" t="s">
        <v>11</v>
      </c>
      <c r="E44" t="s">
        <v>54</v>
      </c>
    </row>
    <row r="45" spans="1:5" x14ac:dyDescent="0.3">
      <c r="A45">
        <v>1043</v>
      </c>
      <c r="B45" t="s">
        <v>5</v>
      </c>
      <c r="D45">
        <v>50322.83</v>
      </c>
      <c r="E45" t="s">
        <v>55</v>
      </c>
    </row>
    <row r="46" spans="1:5" x14ac:dyDescent="0.3">
      <c r="A46">
        <v>1044</v>
      </c>
      <c r="B46" t="s">
        <v>6</v>
      </c>
      <c r="C46" t="s">
        <v>12</v>
      </c>
      <c r="D46">
        <v>39951.65</v>
      </c>
      <c r="E46" t="s">
        <v>56</v>
      </c>
    </row>
    <row r="47" spans="1:5" x14ac:dyDescent="0.3">
      <c r="A47">
        <v>1045</v>
      </c>
      <c r="B47" t="s">
        <v>9</v>
      </c>
      <c r="D47">
        <v>10360.14</v>
      </c>
      <c r="E47" t="s">
        <v>57</v>
      </c>
    </row>
    <row r="48" spans="1:5" x14ac:dyDescent="0.3">
      <c r="A48">
        <v>1046</v>
      </c>
      <c r="D48">
        <v>42515.81</v>
      </c>
      <c r="E48" t="s">
        <v>58</v>
      </c>
    </row>
    <row r="49" spans="1:5" x14ac:dyDescent="0.3">
      <c r="A49">
        <v>1047</v>
      </c>
      <c r="B49" t="s">
        <v>6</v>
      </c>
      <c r="C49" t="s">
        <v>12</v>
      </c>
      <c r="D49">
        <v>39336.65</v>
      </c>
      <c r="E49" t="s">
        <v>59</v>
      </c>
    </row>
    <row r="50" spans="1:5" x14ac:dyDescent="0.3">
      <c r="A50">
        <v>1048</v>
      </c>
      <c r="B50" t="s">
        <v>9</v>
      </c>
      <c r="C50" t="s">
        <v>13</v>
      </c>
      <c r="D50">
        <v>51532.9</v>
      </c>
      <c r="E50" t="s">
        <v>60</v>
      </c>
    </row>
    <row r="51" spans="1:5" x14ac:dyDescent="0.3">
      <c r="A51">
        <v>1049</v>
      </c>
      <c r="B51" t="s">
        <v>7</v>
      </c>
      <c r="C51" t="s">
        <v>12</v>
      </c>
      <c r="D51">
        <v>48256.01</v>
      </c>
      <c r="E51" t="s">
        <v>61</v>
      </c>
    </row>
    <row r="52" spans="1:5" x14ac:dyDescent="0.3">
      <c r="A52">
        <v>1050</v>
      </c>
      <c r="B52" t="s">
        <v>8</v>
      </c>
      <c r="C52" t="s">
        <v>12</v>
      </c>
      <c r="D52">
        <v>39437.599999999999</v>
      </c>
      <c r="E52" t="s">
        <v>62</v>
      </c>
    </row>
    <row r="53" spans="1:5" x14ac:dyDescent="0.3">
      <c r="A53">
        <v>1051</v>
      </c>
      <c r="B53" t="s">
        <v>7</v>
      </c>
      <c r="D53">
        <v>41297.4</v>
      </c>
      <c r="E53" t="s">
        <v>63</v>
      </c>
    </row>
    <row r="54" spans="1:5" x14ac:dyDescent="0.3">
      <c r="A54">
        <v>1052</v>
      </c>
      <c r="B54" t="s">
        <v>5</v>
      </c>
      <c r="C54" t="s">
        <v>12</v>
      </c>
      <c r="D54">
        <v>41880.53</v>
      </c>
      <c r="E54" t="s">
        <v>64</v>
      </c>
    </row>
    <row r="55" spans="1:5" x14ac:dyDescent="0.3">
      <c r="A55">
        <v>1053</v>
      </c>
      <c r="B55" t="s">
        <v>7</v>
      </c>
      <c r="C55" t="s">
        <v>10</v>
      </c>
      <c r="D55">
        <v>45286.27</v>
      </c>
      <c r="E55" t="s">
        <v>65</v>
      </c>
    </row>
    <row r="56" spans="1:5" x14ac:dyDescent="0.3">
      <c r="A56">
        <v>1054</v>
      </c>
      <c r="B56" t="s">
        <v>5</v>
      </c>
      <c r="C56" t="s">
        <v>13</v>
      </c>
      <c r="D56">
        <v>34150.129999999997</v>
      </c>
      <c r="E56" t="s">
        <v>66</v>
      </c>
    </row>
    <row r="57" spans="1:5" x14ac:dyDescent="0.3">
      <c r="A57">
        <v>1055</v>
      </c>
      <c r="B57" t="s">
        <v>7</v>
      </c>
      <c r="C57" t="s">
        <v>12</v>
      </c>
      <c r="D57">
        <v>49760.99</v>
      </c>
      <c r="E57" t="s">
        <v>67</v>
      </c>
    </row>
    <row r="58" spans="1:5" x14ac:dyDescent="0.3">
      <c r="A58">
        <v>1056</v>
      </c>
      <c r="B58" t="s">
        <v>9</v>
      </c>
      <c r="C58" t="s">
        <v>13</v>
      </c>
      <c r="D58">
        <v>21939.41</v>
      </c>
      <c r="E58" t="s">
        <v>68</v>
      </c>
    </row>
    <row r="59" spans="1:5" x14ac:dyDescent="0.3">
      <c r="A59">
        <v>1057</v>
      </c>
      <c r="B59" t="s">
        <v>9</v>
      </c>
      <c r="C59" t="s">
        <v>10</v>
      </c>
      <c r="D59">
        <v>20391.21</v>
      </c>
      <c r="E59" t="s">
        <v>21</v>
      </c>
    </row>
    <row r="60" spans="1:5" x14ac:dyDescent="0.3">
      <c r="A60">
        <v>1058</v>
      </c>
      <c r="B60" t="s">
        <v>7</v>
      </c>
      <c r="C60" t="s">
        <v>10</v>
      </c>
      <c r="D60">
        <v>27050.3</v>
      </c>
      <c r="E60" t="s">
        <v>69</v>
      </c>
    </row>
    <row r="61" spans="1:5" x14ac:dyDescent="0.3">
      <c r="A61">
        <v>1059</v>
      </c>
      <c r="B61" t="s">
        <v>6</v>
      </c>
      <c r="C61" t="s">
        <v>13</v>
      </c>
      <c r="D61">
        <v>50470.37</v>
      </c>
      <c r="E61" t="s">
        <v>70</v>
      </c>
    </row>
    <row r="62" spans="1:5" x14ac:dyDescent="0.3">
      <c r="A62">
        <v>1060</v>
      </c>
      <c r="B62" t="s">
        <v>6</v>
      </c>
      <c r="C62" t="s">
        <v>11</v>
      </c>
      <c r="D62">
        <v>59211.74</v>
      </c>
      <c r="E62" t="s">
        <v>71</v>
      </c>
    </row>
    <row r="63" spans="1:5" x14ac:dyDescent="0.3">
      <c r="A63">
        <v>1061</v>
      </c>
      <c r="B63" t="s">
        <v>6</v>
      </c>
      <c r="C63" t="s">
        <v>13</v>
      </c>
      <c r="D63">
        <v>5926.54</v>
      </c>
      <c r="E63" t="s">
        <v>72</v>
      </c>
    </row>
    <row r="64" spans="1:5" x14ac:dyDescent="0.3">
      <c r="A64">
        <v>1062</v>
      </c>
      <c r="B64" t="s">
        <v>9</v>
      </c>
      <c r="C64" t="s">
        <v>12</v>
      </c>
      <c r="E64" t="s">
        <v>73</v>
      </c>
    </row>
    <row r="65" spans="1:5" x14ac:dyDescent="0.3">
      <c r="A65">
        <v>1063</v>
      </c>
      <c r="B65" t="s">
        <v>6</v>
      </c>
      <c r="C65" t="s">
        <v>11</v>
      </c>
      <c r="D65">
        <v>15012.88</v>
      </c>
      <c r="E65" t="s">
        <v>74</v>
      </c>
    </row>
    <row r="66" spans="1:5" x14ac:dyDescent="0.3">
      <c r="A66">
        <v>1064</v>
      </c>
      <c r="B66" t="s">
        <v>6</v>
      </c>
      <c r="C66" t="s">
        <v>12</v>
      </c>
      <c r="D66">
        <v>33804.300000000003</v>
      </c>
      <c r="E66" t="s">
        <v>75</v>
      </c>
    </row>
    <row r="67" spans="1:5" x14ac:dyDescent="0.3">
      <c r="A67">
        <v>1065</v>
      </c>
      <c r="B67" t="s">
        <v>7</v>
      </c>
      <c r="C67" t="s">
        <v>13</v>
      </c>
      <c r="D67">
        <v>31862.77</v>
      </c>
      <c r="E67" t="s">
        <v>76</v>
      </c>
    </row>
    <row r="68" spans="1:5" x14ac:dyDescent="0.3">
      <c r="A68">
        <v>1066</v>
      </c>
      <c r="B68" t="s">
        <v>8</v>
      </c>
      <c r="C68" t="s">
        <v>11</v>
      </c>
      <c r="D68">
        <v>44488.94</v>
      </c>
      <c r="E68" t="s">
        <v>77</v>
      </c>
    </row>
    <row r="69" spans="1:5" x14ac:dyDescent="0.3">
      <c r="A69">
        <v>1067</v>
      </c>
      <c r="B69" t="s">
        <v>5</v>
      </c>
      <c r="C69" t="s">
        <v>10</v>
      </c>
      <c r="D69">
        <v>39164.050000000003</v>
      </c>
      <c r="E69" t="s">
        <v>78</v>
      </c>
    </row>
    <row r="70" spans="1:5" x14ac:dyDescent="0.3">
      <c r="A70">
        <v>1068</v>
      </c>
      <c r="B70" t="s">
        <v>8</v>
      </c>
      <c r="C70" t="s">
        <v>13</v>
      </c>
      <c r="D70">
        <v>32629.69</v>
      </c>
      <c r="E70" t="s">
        <v>79</v>
      </c>
    </row>
    <row r="71" spans="1:5" x14ac:dyDescent="0.3">
      <c r="A71">
        <v>1069</v>
      </c>
      <c r="B71" t="s">
        <v>7</v>
      </c>
      <c r="C71" t="s">
        <v>11</v>
      </c>
      <c r="D71">
        <v>35288.589999999997</v>
      </c>
      <c r="E71" t="s">
        <v>80</v>
      </c>
    </row>
    <row r="72" spans="1:5" x14ac:dyDescent="0.3">
      <c r="A72">
        <v>1070</v>
      </c>
      <c r="C72" t="s">
        <v>13</v>
      </c>
      <c r="D72">
        <v>59249.29</v>
      </c>
      <c r="E72" t="s">
        <v>81</v>
      </c>
    </row>
    <row r="73" spans="1:5" x14ac:dyDescent="0.3">
      <c r="A73">
        <v>1071</v>
      </c>
      <c r="B73" t="s">
        <v>5</v>
      </c>
      <c r="C73" t="s">
        <v>11</v>
      </c>
      <c r="D73">
        <v>3172.49</v>
      </c>
      <c r="E73" t="s">
        <v>82</v>
      </c>
    </row>
    <row r="74" spans="1:5" x14ac:dyDescent="0.3">
      <c r="A74">
        <v>1072</v>
      </c>
      <c r="B74" t="s">
        <v>6</v>
      </c>
      <c r="C74" t="s">
        <v>12</v>
      </c>
      <c r="D74">
        <v>56741.18</v>
      </c>
      <c r="E74" t="s">
        <v>83</v>
      </c>
    </row>
    <row r="75" spans="1:5" x14ac:dyDescent="0.3">
      <c r="A75">
        <v>1073</v>
      </c>
      <c r="B75" t="s">
        <v>6</v>
      </c>
      <c r="C75" t="s">
        <v>11</v>
      </c>
      <c r="D75">
        <v>14489.93</v>
      </c>
      <c r="E75" t="s">
        <v>84</v>
      </c>
    </row>
    <row r="76" spans="1:5" x14ac:dyDescent="0.3">
      <c r="A76">
        <v>1074</v>
      </c>
      <c r="C76" t="s">
        <v>12</v>
      </c>
      <c r="D76">
        <v>50050.92</v>
      </c>
      <c r="E76" t="s">
        <v>85</v>
      </c>
    </row>
    <row r="77" spans="1:5" x14ac:dyDescent="0.3">
      <c r="A77">
        <v>1075</v>
      </c>
      <c r="B77" t="s">
        <v>9</v>
      </c>
      <c r="C77" t="s">
        <v>10</v>
      </c>
      <c r="D77">
        <v>2698.18</v>
      </c>
      <c r="E77" t="s">
        <v>86</v>
      </c>
    </row>
    <row r="78" spans="1:5" x14ac:dyDescent="0.3">
      <c r="A78">
        <v>1076</v>
      </c>
      <c r="B78" t="s">
        <v>5</v>
      </c>
      <c r="C78" t="s">
        <v>11</v>
      </c>
      <c r="D78">
        <v>36877.18</v>
      </c>
      <c r="E78" t="s">
        <v>87</v>
      </c>
    </row>
    <row r="79" spans="1:5" x14ac:dyDescent="0.3">
      <c r="A79">
        <v>1077</v>
      </c>
      <c r="B79" t="s">
        <v>5</v>
      </c>
      <c r="C79" t="s">
        <v>10</v>
      </c>
      <c r="D79">
        <v>24396.02</v>
      </c>
      <c r="E79" t="s">
        <v>88</v>
      </c>
    </row>
    <row r="80" spans="1:5" x14ac:dyDescent="0.3">
      <c r="A80">
        <v>1078</v>
      </c>
      <c r="B80" t="s">
        <v>5</v>
      </c>
      <c r="C80" t="s">
        <v>12</v>
      </c>
      <c r="D80">
        <v>4907.92</v>
      </c>
      <c r="E80" t="s">
        <v>89</v>
      </c>
    </row>
    <row r="81" spans="1:5" x14ac:dyDescent="0.3">
      <c r="A81">
        <v>1079</v>
      </c>
      <c r="B81" t="s">
        <v>9</v>
      </c>
      <c r="C81" t="s">
        <v>12</v>
      </c>
      <c r="D81">
        <v>8603.9</v>
      </c>
      <c r="E81" t="s">
        <v>90</v>
      </c>
    </row>
    <row r="82" spans="1:5" x14ac:dyDescent="0.3">
      <c r="A82">
        <v>1080</v>
      </c>
      <c r="B82" t="s">
        <v>6</v>
      </c>
      <c r="C82" t="s">
        <v>10</v>
      </c>
      <c r="D82">
        <v>52584.74</v>
      </c>
      <c r="E82" t="s">
        <v>91</v>
      </c>
    </row>
    <row r="83" spans="1:5" x14ac:dyDescent="0.3">
      <c r="A83">
        <v>1081</v>
      </c>
      <c r="C83" t="s">
        <v>12</v>
      </c>
      <c r="D83">
        <v>11443.62</v>
      </c>
      <c r="E83" t="s">
        <v>92</v>
      </c>
    </row>
    <row r="84" spans="1:5" x14ac:dyDescent="0.3">
      <c r="A84">
        <v>1082</v>
      </c>
      <c r="B84" t="s">
        <v>8</v>
      </c>
      <c r="C84" t="s">
        <v>10</v>
      </c>
      <c r="D84">
        <v>41733.29</v>
      </c>
      <c r="E84" t="s">
        <v>93</v>
      </c>
    </row>
    <row r="85" spans="1:5" x14ac:dyDescent="0.3">
      <c r="A85">
        <v>1083</v>
      </c>
      <c r="B85" t="s">
        <v>7</v>
      </c>
      <c r="C85" t="s">
        <v>12</v>
      </c>
      <c r="D85">
        <v>23259.87</v>
      </c>
      <c r="E85" t="s">
        <v>94</v>
      </c>
    </row>
    <row r="86" spans="1:5" x14ac:dyDescent="0.3">
      <c r="A86">
        <v>1084</v>
      </c>
      <c r="B86" t="s">
        <v>5</v>
      </c>
      <c r="C86" t="s">
        <v>11</v>
      </c>
      <c r="D86">
        <v>22857.85</v>
      </c>
      <c r="E86" t="s">
        <v>95</v>
      </c>
    </row>
    <row r="87" spans="1:5" x14ac:dyDescent="0.3">
      <c r="A87">
        <v>1085</v>
      </c>
      <c r="B87" t="s">
        <v>5</v>
      </c>
      <c r="C87" t="s">
        <v>13</v>
      </c>
      <c r="D87">
        <v>9716.61</v>
      </c>
      <c r="E87" t="s">
        <v>96</v>
      </c>
    </row>
    <row r="88" spans="1:5" x14ac:dyDescent="0.3">
      <c r="A88">
        <v>1086</v>
      </c>
      <c r="C88" t="s">
        <v>10</v>
      </c>
      <c r="D88">
        <v>24432.67</v>
      </c>
      <c r="E88" t="s">
        <v>97</v>
      </c>
    </row>
    <row r="89" spans="1:5" x14ac:dyDescent="0.3">
      <c r="A89">
        <v>1087</v>
      </c>
      <c r="C89" t="s">
        <v>13</v>
      </c>
      <c r="D89">
        <v>20322.34</v>
      </c>
      <c r="E89" t="s">
        <v>98</v>
      </c>
    </row>
    <row r="90" spans="1:5" x14ac:dyDescent="0.3">
      <c r="A90">
        <v>1088</v>
      </c>
      <c r="B90" t="s">
        <v>7</v>
      </c>
      <c r="C90" t="s">
        <v>13</v>
      </c>
      <c r="D90">
        <v>29295.34</v>
      </c>
      <c r="E90" t="s">
        <v>99</v>
      </c>
    </row>
    <row r="91" spans="1:5" x14ac:dyDescent="0.3">
      <c r="A91">
        <v>1089</v>
      </c>
      <c r="B91" t="s">
        <v>7</v>
      </c>
      <c r="C91" t="s">
        <v>11</v>
      </c>
      <c r="D91">
        <v>22421.86</v>
      </c>
      <c r="E91" t="s">
        <v>100</v>
      </c>
    </row>
    <row r="92" spans="1:5" x14ac:dyDescent="0.3">
      <c r="A92">
        <v>1090</v>
      </c>
      <c r="B92" t="s">
        <v>9</v>
      </c>
      <c r="C92" t="s">
        <v>13</v>
      </c>
      <c r="E92" t="s">
        <v>101</v>
      </c>
    </row>
    <row r="93" spans="1:5" x14ac:dyDescent="0.3">
      <c r="A93">
        <v>1091</v>
      </c>
      <c r="B93" t="s">
        <v>8</v>
      </c>
      <c r="C93" t="s">
        <v>13</v>
      </c>
      <c r="D93">
        <v>11229.04</v>
      </c>
      <c r="E93" t="s">
        <v>102</v>
      </c>
    </row>
    <row r="94" spans="1:5" x14ac:dyDescent="0.3">
      <c r="A94">
        <v>1172</v>
      </c>
      <c r="B94" t="s">
        <v>6</v>
      </c>
      <c r="C94" t="s">
        <v>10</v>
      </c>
      <c r="D94">
        <v>34983.910000000003</v>
      </c>
      <c r="E94" t="s">
        <v>103</v>
      </c>
    </row>
    <row r="95" spans="1:5" x14ac:dyDescent="0.3">
      <c r="A95">
        <v>1093</v>
      </c>
      <c r="B95" t="s">
        <v>8</v>
      </c>
      <c r="C95" t="s">
        <v>10</v>
      </c>
      <c r="D95">
        <v>33849.01</v>
      </c>
      <c r="E95" t="s">
        <v>104</v>
      </c>
    </row>
    <row r="96" spans="1:5" x14ac:dyDescent="0.3">
      <c r="A96">
        <v>1094</v>
      </c>
      <c r="B96" t="s">
        <v>7</v>
      </c>
      <c r="C96" t="s">
        <v>12</v>
      </c>
      <c r="D96">
        <v>30949.01</v>
      </c>
      <c r="E96" t="s">
        <v>105</v>
      </c>
    </row>
    <row r="97" spans="1:5" x14ac:dyDescent="0.3">
      <c r="A97">
        <v>1095</v>
      </c>
      <c r="B97" t="s">
        <v>9</v>
      </c>
      <c r="C97" t="s">
        <v>11</v>
      </c>
      <c r="D97">
        <v>19917.89</v>
      </c>
      <c r="E97" t="s">
        <v>106</v>
      </c>
    </row>
    <row r="98" spans="1:5" x14ac:dyDescent="0.3">
      <c r="A98">
        <v>1096</v>
      </c>
      <c r="B98" t="s">
        <v>5</v>
      </c>
      <c r="C98" t="s">
        <v>12</v>
      </c>
      <c r="D98">
        <v>20018.88</v>
      </c>
      <c r="E98" t="s">
        <v>107</v>
      </c>
    </row>
    <row r="99" spans="1:5" x14ac:dyDescent="0.3">
      <c r="A99">
        <v>1097</v>
      </c>
      <c r="C99" t="s">
        <v>10</v>
      </c>
      <c r="D99">
        <v>36760.01</v>
      </c>
      <c r="E99" t="s">
        <v>108</v>
      </c>
    </row>
    <row r="100" spans="1:5" x14ac:dyDescent="0.3">
      <c r="A100">
        <v>1098</v>
      </c>
      <c r="B100" t="s">
        <v>8</v>
      </c>
      <c r="C100" t="s">
        <v>10</v>
      </c>
      <c r="D100">
        <v>59464.84</v>
      </c>
      <c r="E100" t="s">
        <v>109</v>
      </c>
    </row>
    <row r="101" spans="1:5" x14ac:dyDescent="0.3">
      <c r="A101">
        <v>1099</v>
      </c>
      <c r="C101" t="s">
        <v>13</v>
      </c>
      <c r="D101">
        <v>45279.61</v>
      </c>
      <c r="E101" t="s">
        <v>110</v>
      </c>
    </row>
    <row r="102" spans="1:5" x14ac:dyDescent="0.3">
      <c r="A102">
        <v>1100</v>
      </c>
      <c r="B102" t="s">
        <v>8</v>
      </c>
      <c r="C102" t="s">
        <v>13</v>
      </c>
      <c r="D102">
        <v>22171</v>
      </c>
      <c r="E102" t="s">
        <v>111</v>
      </c>
    </row>
    <row r="103" spans="1:5" x14ac:dyDescent="0.3">
      <c r="A103">
        <v>1101</v>
      </c>
      <c r="B103" t="s">
        <v>8</v>
      </c>
      <c r="C103" t="s">
        <v>13</v>
      </c>
      <c r="D103">
        <v>32847.08</v>
      </c>
      <c r="E103" t="s">
        <v>112</v>
      </c>
    </row>
    <row r="104" spans="1:5" x14ac:dyDescent="0.3">
      <c r="A104">
        <v>1102</v>
      </c>
      <c r="B104" t="s">
        <v>8</v>
      </c>
      <c r="C104" t="s">
        <v>10</v>
      </c>
      <c r="D104">
        <v>37830.04</v>
      </c>
      <c r="E104" t="s">
        <v>113</v>
      </c>
    </row>
    <row r="105" spans="1:5" x14ac:dyDescent="0.3">
      <c r="A105">
        <v>1103</v>
      </c>
      <c r="B105" t="s">
        <v>5</v>
      </c>
      <c r="C105" t="s">
        <v>10</v>
      </c>
      <c r="D105">
        <v>32474.2</v>
      </c>
      <c r="E105" t="s">
        <v>114</v>
      </c>
    </row>
    <row r="106" spans="1:5" x14ac:dyDescent="0.3">
      <c r="A106">
        <v>1104</v>
      </c>
      <c r="B106" t="s">
        <v>5</v>
      </c>
      <c r="C106" t="s">
        <v>13</v>
      </c>
      <c r="D106">
        <v>13068.13</v>
      </c>
      <c r="E106" t="s">
        <v>115</v>
      </c>
    </row>
    <row r="107" spans="1:5" x14ac:dyDescent="0.3">
      <c r="A107">
        <v>1105</v>
      </c>
      <c r="B107" t="s">
        <v>6</v>
      </c>
      <c r="C107" t="s">
        <v>10</v>
      </c>
      <c r="D107">
        <v>8521.83</v>
      </c>
      <c r="E107" t="s">
        <v>116</v>
      </c>
    </row>
    <row r="108" spans="1:5" x14ac:dyDescent="0.3">
      <c r="A108">
        <v>1106</v>
      </c>
      <c r="B108" t="s">
        <v>5</v>
      </c>
      <c r="C108" t="s">
        <v>10</v>
      </c>
      <c r="E108" t="s">
        <v>117</v>
      </c>
    </row>
    <row r="109" spans="1:5" x14ac:dyDescent="0.3">
      <c r="A109">
        <v>1107</v>
      </c>
      <c r="B109" t="s">
        <v>8</v>
      </c>
      <c r="C109" t="s">
        <v>11</v>
      </c>
      <c r="D109">
        <v>35420.120000000003</v>
      </c>
      <c r="E109" t="s">
        <v>118</v>
      </c>
    </row>
    <row r="110" spans="1:5" x14ac:dyDescent="0.3">
      <c r="A110">
        <v>1108</v>
      </c>
      <c r="B110" t="s">
        <v>7</v>
      </c>
      <c r="C110" t="s">
        <v>12</v>
      </c>
      <c r="D110">
        <v>16104.92</v>
      </c>
      <c r="E110" t="s">
        <v>119</v>
      </c>
    </row>
    <row r="111" spans="1:5" x14ac:dyDescent="0.3">
      <c r="A111">
        <v>1109</v>
      </c>
      <c r="B111" t="s">
        <v>8</v>
      </c>
      <c r="C111" t="s">
        <v>11</v>
      </c>
      <c r="D111">
        <v>9999.7999999999993</v>
      </c>
      <c r="E111" t="s">
        <v>120</v>
      </c>
    </row>
    <row r="112" spans="1:5" x14ac:dyDescent="0.3">
      <c r="A112">
        <v>1110</v>
      </c>
      <c r="B112" t="s">
        <v>9</v>
      </c>
      <c r="C112" t="s">
        <v>12</v>
      </c>
      <c r="D112">
        <v>8245.84</v>
      </c>
      <c r="E112" t="s">
        <v>121</v>
      </c>
    </row>
    <row r="113" spans="1:5" x14ac:dyDescent="0.3">
      <c r="A113">
        <v>1111</v>
      </c>
      <c r="B113" t="s">
        <v>5</v>
      </c>
      <c r="C113" t="s">
        <v>10</v>
      </c>
      <c r="D113">
        <v>35885.25</v>
      </c>
      <c r="E113" t="s">
        <v>122</v>
      </c>
    </row>
    <row r="114" spans="1:5" x14ac:dyDescent="0.3">
      <c r="A114">
        <v>1112</v>
      </c>
      <c r="B114" t="s">
        <v>9</v>
      </c>
      <c r="C114" t="s">
        <v>11</v>
      </c>
      <c r="D114">
        <v>25455.77</v>
      </c>
      <c r="E114" t="s">
        <v>123</v>
      </c>
    </row>
    <row r="115" spans="1:5" x14ac:dyDescent="0.3">
      <c r="A115">
        <v>1113</v>
      </c>
      <c r="B115" t="s">
        <v>6</v>
      </c>
      <c r="C115" t="s">
        <v>12</v>
      </c>
      <c r="D115">
        <v>27693.93</v>
      </c>
      <c r="E115" t="s">
        <v>26</v>
      </c>
    </row>
    <row r="116" spans="1:5" x14ac:dyDescent="0.3">
      <c r="A116">
        <v>1114</v>
      </c>
      <c r="B116" t="s">
        <v>7</v>
      </c>
      <c r="D116">
        <v>47049.25</v>
      </c>
      <c r="E116" t="s">
        <v>124</v>
      </c>
    </row>
    <row r="117" spans="1:5" x14ac:dyDescent="0.3">
      <c r="A117">
        <v>1115</v>
      </c>
      <c r="B117" t="s">
        <v>5</v>
      </c>
      <c r="C117" t="s">
        <v>11</v>
      </c>
      <c r="D117">
        <v>33881.019999999997</v>
      </c>
      <c r="E117" t="s">
        <v>67</v>
      </c>
    </row>
    <row r="118" spans="1:5" x14ac:dyDescent="0.3">
      <c r="A118">
        <v>1116</v>
      </c>
      <c r="B118" t="s">
        <v>5</v>
      </c>
      <c r="C118" t="s">
        <v>13</v>
      </c>
      <c r="D118">
        <v>45247.67</v>
      </c>
      <c r="E118" t="s">
        <v>125</v>
      </c>
    </row>
    <row r="119" spans="1:5" x14ac:dyDescent="0.3">
      <c r="A119">
        <v>1117</v>
      </c>
      <c r="B119" t="s">
        <v>5</v>
      </c>
      <c r="C119" t="s">
        <v>12</v>
      </c>
      <c r="D119">
        <v>18348.64</v>
      </c>
      <c r="E119" t="s">
        <v>16</v>
      </c>
    </row>
    <row r="120" spans="1:5" x14ac:dyDescent="0.3">
      <c r="A120">
        <v>1118</v>
      </c>
      <c r="B120" t="s">
        <v>5</v>
      </c>
      <c r="C120" t="s">
        <v>13</v>
      </c>
      <c r="D120">
        <v>20727.41</v>
      </c>
      <c r="E120" t="s">
        <v>126</v>
      </c>
    </row>
    <row r="121" spans="1:5" x14ac:dyDescent="0.3">
      <c r="A121">
        <v>1119</v>
      </c>
      <c r="B121" t="s">
        <v>7</v>
      </c>
      <c r="C121" t="s">
        <v>12</v>
      </c>
      <c r="E121" t="s">
        <v>127</v>
      </c>
    </row>
    <row r="122" spans="1:5" x14ac:dyDescent="0.3">
      <c r="A122">
        <v>1120</v>
      </c>
      <c r="B122" t="s">
        <v>7</v>
      </c>
      <c r="C122" t="s">
        <v>13</v>
      </c>
      <c r="D122">
        <v>2162.92</v>
      </c>
      <c r="E122" t="s">
        <v>128</v>
      </c>
    </row>
    <row r="123" spans="1:5" x14ac:dyDescent="0.3">
      <c r="A123">
        <v>1121</v>
      </c>
      <c r="B123" t="s">
        <v>9</v>
      </c>
      <c r="C123" t="s">
        <v>10</v>
      </c>
      <c r="D123">
        <v>59335</v>
      </c>
      <c r="E123" t="s">
        <v>127</v>
      </c>
    </row>
    <row r="124" spans="1:5" x14ac:dyDescent="0.3">
      <c r="A124">
        <v>1122</v>
      </c>
      <c r="B124" t="s">
        <v>8</v>
      </c>
      <c r="C124" t="s">
        <v>13</v>
      </c>
      <c r="D124">
        <v>53883.81</v>
      </c>
      <c r="E124" t="s">
        <v>96</v>
      </c>
    </row>
    <row r="125" spans="1:5" x14ac:dyDescent="0.3">
      <c r="A125">
        <v>1123</v>
      </c>
      <c r="B125" t="s">
        <v>5</v>
      </c>
      <c r="C125" t="s">
        <v>12</v>
      </c>
      <c r="D125">
        <v>42532.82</v>
      </c>
      <c r="E125" t="s">
        <v>75</v>
      </c>
    </row>
    <row r="126" spans="1:5" x14ac:dyDescent="0.3">
      <c r="A126">
        <v>1124</v>
      </c>
      <c r="B126" t="s">
        <v>5</v>
      </c>
      <c r="D126">
        <v>21366.34</v>
      </c>
      <c r="E126" t="s">
        <v>129</v>
      </c>
    </row>
    <row r="127" spans="1:5" x14ac:dyDescent="0.3">
      <c r="A127">
        <v>1125</v>
      </c>
      <c r="B127" t="s">
        <v>7</v>
      </c>
      <c r="C127" t="s">
        <v>11</v>
      </c>
      <c r="D127">
        <v>52239.61</v>
      </c>
      <c r="E127" t="s">
        <v>130</v>
      </c>
    </row>
    <row r="128" spans="1:5" x14ac:dyDescent="0.3">
      <c r="A128">
        <v>1126</v>
      </c>
      <c r="B128" t="s">
        <v>5</v>
      </c>
      <c r="C128" t="s">
        <v>10</v>
      </c>
      <c r="D128">
        <v>42231.91</v>
      </c>
      <c r="E128" t="s">
        <v>131</v>
      </c>
    </row>
    <row r="129" spans="1:5" x14ac:dyDescent="0.3">
      <c r="A129">
        <v>1127</v>
      </c>
      <c r="B129" t="s">
        <v>7</v>
      </c>
      <c r="C129" t="s">
        <v>12</v>
      </c>
      <c r="D129">
        <v>11129.08</v>
      </c>
      <c r="E129" t="s">
        <v>69</v>
      </c>
    </row>
    <row r="130" spans="1:5" x14ac:dyDescent="0.3">
      <c r="A130">
        <v>1128</v>
      </c>
      <c r="B130" t="s">
        <v>6</v>
      </c>
      <c r="C130" t="s">
        <v>11</v>
      </c>
      <c r="D130">
        <v>24909.64</v>
      </c>
      <c r="E130" t="s">
        <v>132</v>
      </c>
    </row>
    <row r="131" spans="1:5" x14ac:dyDescent="0.3">
      <c r="A131">
        <v>1782</v>
      </c>
      <c r="B131" t="s">
        <v>9</v>
      </c>
      <c r="C131" t="s">
        <v>12</v>
      </c>
      <c r="D131">
        <v>36247.370000000003</v>
      </c>
      <c r="E131" t="s">
        <v>133</v>
      </c>
    </row>
    <row r="132" spans="1:5" x14ac:dyDescent="0.3">
      <c r="A132">
        <v>1130</v>
      </c>
      <c r="B132" t="s">
        <v>9</v>
      </c>
      <c r="C132" t="s">
        <v>13</v>
      </c>
      <c r="D132">
        <v>25900.13</v>
      </c>
      <c r="E132" t="s">
        <v>107</v>
      </c>
    </row>
    <row r="133" spans="1:5" x14ac:dyDescent="0.3">
      <c r="A133">
        <v>1131</v>
      </c>
      <c r="B133" t="s">
        <v>7</v>
      </c>
      <c r="C133" t="s">
        <v>13</v>
      </c>
      <c r="D133">
        <v>23968.44</v>
      </c>
      <c r="E133" t="s">
        <v>134</v>
      </c>
    </row>
    <row r="134" spans="1:5" x14ac:dyDescent="0.3">
      <c r="A134">
        <v>1132</v>
      </c>
      <c r="B134" t="s">
        <v>7</v>
      </c>
      <c r="C134" t="s">
        <v>11</v>
      </c>
      <c r="D134">
        <v>57291.13</v>
      </c>
      <c r="E134" t="s">
        <v>89</v>
      </c>
    </row>
    <row r="135" spans="1:5" x14ac:dyDescent="0.3">
      <c r="A135">
        <v>1133</v>
      </c>
      <c r="B135" t="s">
        <v>8</v>
      </c>
      <c r="C135" t="s">
        <v>10</v>
      </c>
      <c r="D135">
        <v>57358.94</v>
      </c>
      <c r="E135" t="s">
        <v>135</v>
      </c>
    </row>
    <row r="136" spans="1:5" x14ac:dyDescent="0.3">
      <c r="A136">
        <v>1134</v>
      </c>
      <c r="B136" t="s">
        <v>6</v>
      </c>
      <c r="C136" t="s">
        <v>10</v>
      </c>
      <c r="D136">
        <v>26654.81</v>
      </c>
      <c r="E136" t="s">
        <v>136</v>
      </c>
    </row>
    <row r="137" spans="1:5" x14ac:dyDescent="0.3">
      <c r="A137">
        <v>1135</v>
      </c>
      <c r="C137" t="s">
        <v>11</v>
      </c>
      <c r="E137" t="s">
        <v>77</v>
      </c>
    </row>
    <row r="138" spans="1:5" x14ac:dyDescent="0.3">
      <c r="A138">
        <v>1136</v>
      </c>
      <c r="B138" t="s">
        <v>7</v>
      </c>
      <c r="C138" t="s">
        <v>10</v>
      </c>
      <c r="D138">
        <v>11922.84</v>
      </c>
      <c r="E138" t="s">
        <v>137</v>
      </c>
    </row>
    <row r="139" spans="1:5" x14ac:dyDescent="0.3">
      <c r="A139">
        <v>1137</v>
      </c>
      <c r="B139" t="s">
        <v>8</v>
      </c>
      <c r="C139" t="s">
        <v>13</v>
      </c>
      <c r="D139">
        <v>58854.03</v>
      </c>
      <c r="E139" t="s">
        <v>138</v>
      </c>
    </row>
    <row r="140" spans="1:5" x14ac:dyDescent="0.3">
      <c r="A140">
        <v>1138</v>
      </c>
      <c r="B140" t="s">
        <v>6</v>
      </c>
      <c r="D140">
        <v>59961.86</v>
      </c>
      <c r="E140" t="s">
        <v>139</v>
      </c>
    </row>
    <row r="141" spans="1:5" x14ac:dyDescent="0.3">
      <c r="A141">
        <v>1139</v>
      </c>
      <c r="B141" t="s">
        <v>8</v>
      </c>
      <c r="C141" t="s">
        <v>11</v>
      </c>
      <c r="D141">
        <v>58292.44</v>
      </c>
      <c r="E141" t="s">
        <v>69</v>
      </c>
    </row>
    <row r="142" spans="1:5" x14ac:dyDescent="0.3">
      <c r="A142">
        <v>1140</v>
      </c>
      <c r="B142" t="s">
        <v>6</v>
      </c>
      <c r="C142" t="s">
        <v>12</v>
      </c>
      <c r="D142">
        <v>39359.870000000003</v>
      </c>
      <c r="E142" t="s">
        <v>140</v>
      </c>
    </row>
    <row r="143" spans="1:5" x14ac:dyDescent="0.3">
      <c r="A143">
        <v>1141</v>
      </c>
      <c r="B143" t="s">
        <v>7</v>
      </c>
      <c r="C143" t="s">
        <v>11</v>
      </c>
      <c r="D143">
        <v>43761.24</v>
      </c>
      <c r="E143" t="s">
        <v>141</v>
      </c>
    </row>
    <row r="144" spans="1:5" x14ac:dyDescent="0.3">
      <c r="A144">
        <v>1142</v>
      </c>
      <c r="B144" t="s">
        <v>6</v>
      </c>
      <c r="C144" t="s">
        <v>10</v>
      </c>
      <c r="D144">
        <v>26182.21</v>
      </c>
      <c r="E144" t="s">
        <v>142</v>
      </c>
    </row>
    <row r="145" spans="1:5" x14ac:dyDescent="0.3">
      <c r="A145">
        <v>1143</v>
      </c>
      <c r="B145" t="s">
        <v>9</v>
      </c>
      <c r="D145">
        <v>32207.29</v>
      </c>
      <c r="E145" t="s">
        <v>143</v>
      </c>
    </row>
    <row r="146" spans="1:5" x14ac:dyDescent="0.3">
      <c r="A146">
        <v>1144</v>
      </c>
      <c r="B146" t="s">
        <v>9</v>
      </c>
      <c r="C146" t="s">
        <v>11</v>
      </c>
      <c r="D146">
        <v>38022.82</v>
      </c>
      <c r="E146" t="s">
        <v>144</v>
      </c>
    </row>
    <row r="147" spans="1:5" x14ac:dyDescent="0.3">
      <c r="A147">
        <v>1145</v>
      </c>
      <c r="B147" t="s">
        <v>6</v>
      </c>
      <c r="C147" t="s">
        <v>10</v>
      </c>
      <c r="D147">
        <v>7517.97</v>
      </c>
      <c r="E147" t="s">
        <v>145</v>
      </c>
    </row>
    <row r="148" spans="1:5" x14ac:dyDescent="0.3">
      <c r="A148">
        <v>1146</v>
      </c>
      <c r="B148" t="s">
        <v>8</v>
      </c>
      <c r="C148" t="s">
        <v>10</v>
      </c>
      <c r="D148">
        <v>54710.01</v>
      </c>
      <c r="E148" t="s">
        <v>93</v>
      </c>
    </row>
    <row r="149" spans="1:5" x14ac:dyDescent="0.3">
      <c r="A149">
        <v>1147</v>
      </c>
      <c r="B149" t="s">
        <v>8</v>
      </c>
      <c r="C149" t="s">
        <v>12</v>
      </c>
      <c r="D149">
        <v>16279.98</v>
      </c>
      <c r="E149" t="s">
        <v>113</v>
      </c>
    </row>
    <row r="150" spans="1:5" x14ac:dyDescent="0.3">
      <c r="A150">
        <v>1148</v>
      </c>
      <c r="B150" t="s">
        <v>5</v>
      </c>
      <c r="C150" t="s">
        <v>12</v>
      </c>
      <c r="D150">
        <v>4834.2</v>
      </c>
      <c r="E150" t="s">
        <v>146</v>
      </c>
    </row>
    <row r="151" spans="1:5" x14ac:dyDescent="0.3">
      <c r="A151">
        <v>1149</v>
      </c>
      <c r="B151" t="s">
        <v>6</v>
      </c>
      <c r="C151" t="s">
        <v>11</v>
      </c>
      <c r="D151">
        <v>14008.69</v>
      </c>
      <c r="E151" t="s">
        <v>147</v>
      </c>
    </row>
    <row r="152" spans="1:5" x14ac:dyDescent="0.3">
      <c r="A152">
        <v>1150</v>
      </c>
      <c r="B152" t="s">
        <v>8</v>
      </c>
      <c r="C152" t="s">
        <v>10</v>
      </c>
      <c r="D152">
        <v>36239.17</v>
      </c>
      <c r="E152" t="s">
        <v>148</v>
      </c>
    </row>
    <row r="153" spans="1:5" x14ac:dyDescent="0.3">
      <c r="A153">
        <v>1151</v>
      </c>
      <c r="B153" t="s">
        <v>9</v>
      </c>
      <c r="C153" t="s">
        <v>12</v>
      </c>
      <c r="D153">
        <v>49134.15</v>
      </c>
      <c r="E153" t="s">
        <v>149</v>
      </c>
    </row>
    <row r="154" spans="1:5" x14ac:dyDescent="0.3">
      <c r="A154">
        <v>1152</v>
      </c>
      <c r="B154" t="s">
        <v>6</v>
      </c>
      <c r="C154" t="s">
        <v>12</v>
      </c>
      <c r="D154">
        <v>52770.19</v>
      </c>
      <c r="E154" t="s">
        <v>150</v>
      </c>
    </row>
    <row r="155" spans="1:5" x14ac:dyDescent="0.3">
      <c r="A155">
        <v>1153</v>
      </c>
      <c r="C155" t="s">
        <v>11</v>
      </c>
      <c r="E155" t="s">
        <v>151</v>
      </c>
    </row>
    <row r="156" spans="1:5" x14ac:dyDescent="0.3">
      <c r="A156">
        <v>1154</v>
      </c>
      <c r="B156" t="s">
        <v>7</v>
      </c>
      <c r="D156">
        <v>3878.23</v>
      </c>
      <c r="E156" t="s">
        <v>152</v>
      </c>
    </row>
    <row r="157" spans="1:5" x14ac:dyDescent="0.3">
      <c r="A157">
        <v>1155</v>
      </c>
      <c r="B157" t="s">
        <v>6</v>
      </c>
      <c r="C157" t="s">
        <v>11</v>
      </c>
      <c r="D157">
        <v>29354.61</v>
      </c>
      <c r="E157" t="s">
        <v>153</v>
      </c>
    </row>
    <row r="158" spans="1:5" x14ac:dyDescent="0.3">
      <c r="A158">
        <v>1156</v>
      </c>
      <c r="B158" t="s">
        <v>8</v>
      </c>
      <c r="C158" t="s">
        <v>13</v>
      </c>
      <c r="D158">
        <v>31754.36</v>
      </c>
      <c r="E158" t="s">
        <v>154</v>
      </c>
    </row>
    <row r="159" spans="1:5" x14ac:dyDescent="0.3">
      <c r="A159">
        <v>1157</v>
      </c>
      <c r="B159" t="s">
        <v>7</v>
      </c>
      <c r="C159" t="s">
        <v>11</v>
      </c>
      <c r="D159">
        <v>41128.31</v>
      </c>
      <c r="E159" t="s">
        <v>74</v>
      </c>
    </row>
    <row r="160" spans="1:5" x14ac:dyDescent="0.3">
      <c r="A160">
        <v>1158</v>
      </c>
      <c r="B160" t="s">
        <v>8</v>
      </c>
      <c r="C160" t="s">
        <v>13</v>
      </c>
      <c r="D160">
        <v>1303.57</v>
      </c>
      <c r="E160" t="s">
        <v>155</v>
      </c>
    </row>
    <row r="161" spans="1:5" x14ac:dyDescent="0.3">
      <c r="A161">
        <v>1159</v>
      </c>
      <c r="B161" t="s">
        <v>9</v>
      </c>
      <c r="C161" t="s">
        <v>10</v>
      </c>
      <c r="D161">
        <v>1376.77</v>
      </c>
      <c r="E161" t="s">
        <v>156</v>
      </c>
    </row>
    <row r="162" spans="1:5" x14ac:dyDescent="0.3">
      <c r="A162">
        <v>1160</v>
      </c>
      <c r="B162" t="s">
        <v>7</v>
      </c>
      <c r="C162" t="s">
        <v>10</v>
      </c>
      <c r="D162">
        <v>1535.27</v>
      </c>
      <c r="E162" t="s">
        <v>157</v>
      </c>
    </row>
    <row r="163" spans="1:5" x14ac:dyDescent="0.3">
      <c r="A163">
        <v>1161</v>
      </c>
      <c r="B163" t="s">
        <v>8</v>
      </c>
      <c r="C163" t="s">
        <v>12</v>
      </c>
      <c r="D163">
        <v>38324.69</v>
      </c>
      <c r="E163" t="s">
        <v>158</v>
      </c>
    </row>
    <row r="164" spans="1:5" x14ac:dyDescent="0.3">
      <c r="A164">
        <v>1162</v>
      </c>
      <c r="B164" t="s">
        <v>9</v>
      </c>
      <c r="C164" t="s">
        <v>11</v>
      </c>
      <c r="D164">
        <v>46488.07</v>
      </c>
      <c r="E164" t="s">
        <v>159</v>
      </c>
    </row>
    <row r="165" spans="1:5" x14ac:dyDescent="0.3">
      <c r="A165">
        <v>1163</v>
      </c>
      <c r="B165" t="s">
        <v>9</v>
      </c>
      <c r="C165" t="s">
        <v>13</v>
      </c>
      <c r="D165">
        <v>27311.54</v>
      </c>
      <c r="E165" t="s">
        <v>160</v>
      </c>
    </row>
    <row r="166" spans="1:5" x14ac:dyDescent="0.3">
      <c r="A166">
        <v>1164</v>
      </c>
      <c r="D166">
        <v>29829.95</v>
      </c>
      <c r="E166" t="s">
        <v>161</v>
      </c>
    </row>
    <row r="167" spans="1:5" x14ac:dyDescent="0.3">
      <c r="A167">
        <v>1165</v>
      </c>
      <c r="B167" t="s">
        <v>5</v>
      </c>
      <c r="C167" t="s">
        <v>12</v>
      </c>
      <c r="D167">
        <v>51398.38</v>
      </c>
      <c r="E167" t="s">
        <v>162</v>
      </c>
    </row>
    <row r="168" spans="1:5" x14ac:dyDescent="0.3">
      <c r="A168">
        <v>1166</v>
      </c>
      <c r="B168" t="s">
        <v>6</v>
      </c>
      <c r="C168" t="s">
        <v>12</v>
      </c>
      <c r="D168">
        <v>17122.310000000001</v>
      </c>
      <c r="E168" t="s">
        <v>63</v>
      </c>
    </row>
    <row r="169" spans="1:5" x14ac:dyDescent="0.3">
      <c r="A169">
        <v>1167</v>
      </c>
      <c r="B169" t="s">
        <v>6</v>
      </c>
      <c r="C169" t="s">
        <v>12</v>
      </c>
      <c r="D169">
        <v>45845.55</v>
      </c>
      <c r="E169" t="s">
        <v>163</v>
      </c>
    </row>
    <row r="170" spans="1:5" x14ac:dyDescent="0.3">
      <c r="A170">
        <v>1168</v>
      </c>
      <c r="B170" t="s">
        <v>5</v>
      </c>
      <c r="C170" t="s">
        <v>12</v>
      </c>
      <c r="D170">
        <v>34202.269999999997</v>
      </c>
      <c r="E170" t="s">
        <v>164</v>
      </c>
    </row>
    <row r="171" spans="1:5" x14ac:dyDescent="0.3">
      <c r="A171">
        <v>1169</v>
      </c>
      <c r="B171" t="s">
        <v>6</v>
      </c>
      <c r="C171" t="s">
        <v>12</v>
      </c>
      <c r="D171">
        <v>32290.91</v>
      </c>
      <c r="E171" t="s">
        <v>165</v>
      </c>
    </row>
    <row r="172" spans="1:5" x14ac:dyDescent="0.3">
      <c r="A172">
        <v>1170</v>
      </c>
      <c r="B172" t="s">
        <v>6</v>
      </c>
      <c r="C172" t="s">
        <v>11</v>
      </c>
      <c r="D172">
        <v>29409.82</v>
      </c>
      <c r="E172" t="s">
        <v>166</v>
      </c>
    </row>
    <row r="173" spans="1:5" x14ac:dyDescent="0.3">
      <c r="A173">
        <v>1171</v>
      </c>
      <c r="B173" t="s">
        <v>5</v>
      </c>
      <c r="C173" t="s">
        <v>12</v>
      </c>
      <c r="D173">
        <v>39439.65</v>
      </c>
      <c r="E173" t="s">
        <v>167</v>
      </c>
    </row>
    <row r="174" spans="1:5" x14ac:dyDescent="0.3">
      <c r="A174">
        <v>1172</v>
      </c>
      <c r="B174" t="s">
        <v>6</v>
      </c>
      <c r="C174" t="s">
        <v>13</v>
      </c>
      <c r="D174">
        <v>24337.16</v>
      </c>
      <c r="E174" t="s">
        <v>168</v>
      </c>
    </row>
    <row r="175" spans="1:5" x14ac:dyDescent="0.3">
      <c r="A175">
        <v>1173</v>
      </c>
      <c r="B175" t="s">
        <v>8</v>
      </c>
      <c r="C175" t="s">
        <v>12</v>
      </c>
      <c r="D175">
        <v>45200.54</v>
      </c>
      <c r="E175" t="s">
        <v>169</v>
      </c>
    </row>
    <row r="176" spans="1:5" x14ac:dyDescent="0.3">
      <c r="A176">
        <v>1174</v>
      </c>
      <c r="B176" t="s">
        <v>5</v>
      </c>
      <c r="C176" t="s">
        <v>13</v>
      </c>
      <c r="D176">
        <v>42445.43</v>
      </c>
      <c r="E176" t="s">
        <v>170</v>
      </c>
    </row>
    <row r="177" spans="1:5" x14ac:dyDescent="0.3">
      <c r="A177">
        <v>1175</v>
      </c>
      <c r="B177" t="s">
        <v>5</v>
      </c>
      <c r="C177" t="s">
        <v>13</v>
      </c>
      <c r="D177">
        <v>49646.33</v>
      </c>
      <c r="E177" t="s">
        <v>171</v>
      </c>
    </row>
    <row r="178" spans="1:5" x14ac:dyDescent="0.3">
      <c r="A178">
        <v>1176</v>
      </c>
      <c r="B178" t="s">
        <v>6</v>
      </c>
      <c r="C178" t="s">
        <v>12</v>
      </c>
      <c r="D178">
        <v>10881.47</v>
      </c>
      <c r="E178" t="s">
        <v>172</v>
      </c>
    </row>
    <row r="179" spans="1:5" x14ac:dyDescent="0.3">
      <c r="A179">
        <v>1177</v>
      </c>
      <c r="B179" t="s">
        <v>9</v>
      </c>
      <c r="C179" t="s">
        <v>12</v>
      </c>
      <c r="D179">
        <v>18631.32</v>
      </c>
      <c r="E179" t="s">
        <v>173</v>
      </c>
    </row>
    <row r="180" spans="1:5" x14ac:dyDescent="0.3">
      <c r="A180">
        <v>1178</v>
      </c>
      <c r="B180" t="s">
        <v>9</v>
      </c>
      <c r="C180" t="s">
        <v>13</v>
      </c>
      <c r="D180">
        <v>53794.18</v>
      </c>
      <c r="E180" t="s">
        <v>51</v>
      </c>
    </row>
    <row r="181" spans="1:5" x14ac:dyDescent="0.3">
      <c r="A181">
        <v>1179</v>
      </c>
      <c r="B181" t="s">
        <v>8</v>
      </c>
      <c r="C181" t="s">
        <v>11</v>
      </c>
      <c r="D181">
        <v>36003.440000000002</v>
      </c>
      <c r="E181" t="s">
        <v>174</v>
      </c>
    </row>
    <row r="182" spans="1:5" x14ac:dyDescent="0.3">
      <c r="A182">
        <v>1180</v>
      </c>
      <c r="B182" t="s">
        <v>6</v>
      </c>
      <c r="C182" t="s">
        <v>10</v>
      </c>
      <c r="D182">
        <v>11744.96</v>
      </c>
      <c r="E182" t="s">
        <v>175</v>
      </c>
    </row>
    <row r="183" spans="1:5" x14ac:dyDescent="0.3">
      <c r="A183">
        <v>1181</v>
      </c>
      <c r="C183" t="s">
        <v>12</v>
      </c>
      <c r="D183">
        <v>33006.239999999998</v>
      </c>
      <c r="E183" t="s">
        <v>176</v>
      </c>
    </row>
    <row r="184" spans="1:5" x14ac:dyDescent="0.3">
      <c r="A184">
        <v>1182</v>
      </c>
      <c r="B184" t="s">
        <v>8</v>
      </c>
      <c r="D184">
        <v>28294.75</v>
      </c>
      <c r="E184" t="s">
        <v>177</v>
      </c>
    </row>
    <row r="185" spans="1:5" x14ac:dyDescent="0.3">
      <c r="A185">
        <v>1183</v>
      </c>
      <c r="B185" t="s">
        <v>6</v>
      </c>
      <c r="C185" t="s">
        <v>10</v>
      </c>
      <c r="D185">
        <v>30785.85</v>
      </c>
      <c r="E185" t="s">
        <v>178</v>
      </c>
    </row>
    <row r="186" spans="1:5" x14ac:dyDescent="0.3">
      <c r="A186">
        <v>1184</v>
      </c>
      <c r="B186" t="s">
        <v>7</v>
      </c>
      <c r="C186" t="s">
        <v>13</v>
      </c>
      <c r="D186">
        <v>54141.41</v>
      </c>
      <c r="E186" t="s">
        <v>179</v>
      </c>
    </row>
    <row r="187" spans="1:5" x14ac:dyDescent="0.3">
      <c r="A187">
        <v>1185</v>
      </c>
      <c r="B187" t="s">
        <v>5</v>
      </c>
      <c r="C187" t="s">
        <v>12</v>
      </c>
      <c r="D187">
        <v>50323.89</v>
      </c>
      <c r="E187" t="s">
        <v>180</v>
      </c>
    </row>
    <row r="188" spans="1:5" x14ac:dyDescent="0.3">
      <c r="A188">
        <v>1186</v>
      </c>
      <c r="B188" t="s">
        <v>9</v>
      </c>
      <c r="C188" t="s">
        <v>11</v>
      </c>
      <c r="D188">
        <v>58312.31</v>
      </c>
      <c r="E188" t="s">
        <v>181</v>
      </c>
    </row>
    <row r="189" spans="1:5" x14ac:dyDescent="0.3">
      <c r="A189">
        <v>1187</v>
      </c>
      <c r="B189" t="s">
        <v>9</v>
      </c>
      <c r="C189" t="s">
        <v>12</v>
      </c>
      <c r="D189">
        <v>22194.77</v>
      </c>
      <c r="E189" t="s">
        <v>107</v>
      </c>
    </row>
    <row r="190" spans="1:5" x14ac:dyDescent="0.3">
      <c r="A190">
        <v>1188</v>
      </c>
      <c r="B190" t="s">
        <v>6</v>
      </c>
      <c r="C190" t="s">
        <v>10</v>
      </c>
      <c r="D190">
        <v>1532.79</v>
      </c>
      <c r="E190" t="s">
        <v>182</v>
      </c>
    </row>
    <row r="191" spans="1:5" x14ac:dyDescent="0.3">
      <c r="A191">
        <v>1189</v>
      </c>
      <c r="B191" t="s">
        <v>7</v>
      </c>
      <c r="C191" t="s">
        <v>11</v>
      </c>
      <c r="D191">
        <v>20883.189999999999</v>
      </c>
      <c r="E191" t="s">
        <v>183</v>
      </c>
    </row>
    <row r="192" spans="1:5" x14ac:dyDescent="0.3">
      <c r="A192">
        <v>1190</v>
      </c>
      <c r="B192" t="s">
        <v>5</v>
      </c>
      <c r="C192" t="s">
        <v>13</v>
      </c>
      <c r="D192">
        <v>22195.79</v>
      </c>
      <c r="E192" t="s">
        <v>184</v>
      </c>
    </row>
    <row r="193" spans="1:5" x14ac:dyDescent="0.3">
      <c r="A193">
        <v>1191</v>
      </c>
      <c r="B193" t="s">
        <v>9</v>
      </c>
      <c r="C193" t="s">
        <v>11</v>
      </c>
      <c r="D193">
        <v>48534.54</v>
      </c>
      <c r="E193" t="s">
        <v>185</v>
      </c>
    </row>
    <row r="194" spans="1:5" x14ac:dyDescent="0.3">
      <c r="A194">
        <v>1192</v>
      </c>
      <c r="C194" t="s">
        <v>13</v>
      </c>
      <c r="D194">
        <v>14636.72</v>
      </c>
      <c r="E194" t="s">
        <v>186</v>
      </c>
    </row>
    <row r="195" spans="1:5" x14ac:dyDescent="0.3">
      <c r="A195">
        <v>1193</v>
      </c>
      <c r="B195" t="s">
        <v>7</v>
      </c>
      <c r="C195" t="s">
        <v>11</v>
      </c>
      <c r="D195">
        <v>30926.85</v>
      </c>
      <c r="E195" t="s">
        <v>187</v>
      </c>
    </row>
    <row r="196" spans="1:5" x14ac:dyDescent="0.3">
      <c r="A196">
        <v>1194</v>
      </c>
      <c r="B196" t="s">
        <v>9</v>
      </c>
      <c r="D196">
        <v>58412.77</v>
      </c>
      <c r="E196" t="s">
        <v>188</v>
      </c>
    </row>
    <row r="197" spans="1:5" x14ac:dyDescent="0.3">
      <c r="A197">
        <v>1195</v>
      </c>
      <c r="B197" t="s">
        <v>8</v>
      </c>
      <c r="C197" t="s">
        <v>12</v>
      </c>
      <c r="E197" t="s">
        <v>189</v>
      </c>
    </row>
    <row r="198" spans="1:5" x14ac:dyDescent="0.3">
      <c r="A198">
        <v>1196</v>
      </c>
      <c r="B198" t="s">
        <v>8</v>
      </c>
      <c r="C198" t="s">
        <v>12</v>
      </c>
      <c r="D198">
        <v>44118.94</v>
      </c>
      <c r="E198" t="s">
        <v>190</v>
      </c>
    </row>
    <row r="199" spans="1:5" x14ac:dyDescent="0.3">
      <c r="A199">
        <v>1197</v>
      </c>
      <c r="B199" t="s">
        <v>6</v>
      </c>
      <c r="C199" t="s">
        <v>12</v>
      </c>
      <c r="D199">
        <v>41311.629999999997</v>
      </c>
      <c r="E199" t="s">
        <v>191</v>
      </c>
    </row>
    <row r="200" spans="1:5" x14ac:dyDescent="0.3">
      <c r="A200">
        <v>1198</v>
      </c>
      <c r="B200" t="s">
        <v>5</v>
      </c>
      <c r="C200" t="s">
        <v>13</v>
      </c>
      <c r="D200">
        <v>47935.11</v>
      </c>
      <c r="E200" t="s">
        <v>192</v>
      </c>
    </row>
    <row r="201" spans="1:5" x14ac:dyDescent="0.3">
      <c r="A201">
        <v>1199</v>
      </c>
      <c r="B201" t="s">
        <v>8</v>
      </c>
      <c r="C201" t="s">
        <v>13</v>
      </c>
      <c r="D201">
        <v>10397.959999999999</v>
      </c>
      <c r="E201" t="s">
        <v>97</v>
      </c>
    </row>
    <row r="202" spans="1:5" x14ac:dyDescent="0.3">
      <c r="A202">
        <v>1200</v>
      </c>
      <c r="B202" t="s">
        <v>7</v>
      </c>
      <c r="C202" t="s">
        <v>12</v>
      </c>
      <c r="D202">
        <v>34453.96</v>
      </c>
      <c r="E202" t="s">
        <v>193</v>
      </c>
    </row>
    <row r="203" spans="1:5" x14ac:dyDescent="0.3">
      <c r="A203">
        <v>1201</v>
      </c>
      <c r="B203" t="s">
        <v>9</v>
      </c>
      <c r="C203" t="s">
        <v>12</v>
      </c>
      <c r="D203">
        <v>19714.55</v>
      </c>
      <c r="E203" t="s">
        <v>157</v>
      </c>
    </row>
    <row r="204" spans="1:5" x14ac:dyDescent="0.3">
      <c r="A204">
        <v>1202</v>
      </c>
      <c r="C204" t="s">
        <v>10</v>
      </c>
      <c r="D204">
        <v>24374.19</v>
      </c>
      <c r="E204" t="s">
        <v>194</v>
      </c>
    </row>
    <row r="205" spans="1:5" x14ac:dyDescent="0.3">
      <c r="A205">
        <v>1203</v>
      </c>
      <c r="B205" t="s">
        <v>5</v>
      </c>
      <c r="D205">
        <v>10938.22</v>
      </c>
      <c r="E205" t="s">
        <v>195</v>
      </c>
    </row>
    <row r="206" spans="1:5" x14ac:dyDescent="0.3">
      <c r="A206">
        <v>1204</v>
      </c>
      <c r="B206" t="s">
        <v>9</v>
      </c>
      <c r="C206" t="s">
        <v>10</v>
      </c>
      <c r="D206">
        <v>49012.21</v>
      </c>
      <c r="E206" t="s">
        <v>196</v>
      </c>
    </row>
    <row r="207" spans="1:5" x14ac:dyDescent="0.3">
      <c r="A207">
        <v>1205</v>
      </c>
      <c r="B207" t="s">
        <v>5</v>
      </c>
      <c r="C207" t="s">
        <v>13</v>
      </c>
      <c r="D207">
        <v>48966.16</v>
      </c>
      <c r="E207" t="s">
        <v>72</v>
      </c>
    </row>
    <row r="208" spans="1:5" x14ac:dyDescent="0.3">
      <c r="A208">
        <v>1206</v>
      </c>
      <c r="C208" t="s">
        <v>11</v>
      </c>
      <c r="D208">
        <v>15365.46</v>
      </c>
      <c r="E208" t="s">
        <v>197</v>
      </c>
    </row>
    <row r="209" spans="1:5" x14ac:dyDescent="0.3">
      <c r="A209">
        <v>1207</v>
      </c>
      <c r="B209" t="s">
        <v>8</v>
      </c>
      <c r="C209" t="s">
        <v>10</v>
      </c>
      <c r="D209">
        <v>31862</v>
      </c>
      <c r="E209" t="s">
        <v>198</v>
      </c>
    </row>
    <row r="210" spans="1:5" x14ac:dyDescent="0.3">
      <c r="A210">
        <v>1208</v>
      </c>
      <c r="B210" t="s">
        <v>7</v>
      </c>
      <c r="C210" t="s">
        <v>12</v>
      </c>
      <c r="D210">
        <v>58626.79</v>
      </c>
      <c r="E210" t="s">
        <v>199</v>
      </c>
    </row>
    <row r="211" spans="1:5" x14ac:dyDescent="0.3">
      <c r="A211">
        <v>1209</v>
      </c>
      <c r="B211" t="s">
        <v>7</v>
      </c>
      <c r="C211" t="s">
        <v>12</v>
      </c>
      <c r="D211">
        <v>42833.73</v>
      </c>
      <c r="E211" t="s">
        <v>200</v>
      </c>
    </row>
    <row r="212" spans="1:5" x14ac:dyDescent="0.3">
      <c r="A212">
        <v>1210</v>
      </c>
      <c r="B212" t="s">
        <v>8</v>
      </c>
      <c r="C212" t="s">
        <v>13</v>
      </c>
      <c r="D212">
        <v>23037.07</v>
      </c>
      <c r="E212" t="s">
        <v>201</v>
      </c>
    </row>
    <row r="213" spans="1:5" x14ac:dyDescent="0.3">
      <c r="A213">
        <v>1211</v>
      </c>
      <c r="B213" t="s">
        <v>7</v>
      </c>
      <c r="C213" t="s">
        <v>11</v>
      </c>
      <c r="D213">
        <v>13510.65</v>
      </c>
      <c r="E213" t="s">
        <v>202</v>
      </c>
    </row>
    <row r="214" spans="1:5" x14ac:dyDescent="0.3">
      <c r="A214">
        <v>1212</v>
      </c>
      <c r="B214" t="s">
        <v>6</v>
      </c>
      <c r="C214" t="s">
        <v>12</v>
      </c>
      <c r="D214">
        <v>16083.05</v>
      </c>
      <c r="E214" t="s">
        <v>41</v>
      </c>
    </row>
    <row r="215" spans="1:5" x14ac:dyDescent="0.3">
      <c r="A215">
        <v>1213</v>
      </c>
      <c r="B215" t="s">
        <v>9</v>
      </c>
      <c r="C215" t="s">
        <v>12</v>
      </c>
      <c r="D215">
        <v>37807.699999999997</v>
      </c>
      <c r="E215" t="s">
        <v>203</v>
      </c>
    </row>
    <row r="216" spans="1:5" x14ac:dyDescent="0.3">
      <c r="A216">
        <v>1214</v>
      </c>
      <c r="B216" t="s">
        <v>8</v>
      </c>
      <c r="C216" t="s">
        <v>13</v>
      </c>
      <c r="D216">
        <v>11528.31</v>
      </c>
      <c r="E216" t="s">
        <v>204</v>
      </c>
    </row>
    <row r="217" spans="1:5" x14ac:dyDescent="0.3">
      <c r="A217">
        <v>1215</v>
      </c>
      <c r="B217" t="s">
        <v>6</v>
      </c>
      <c r="C217" t="s">
        <v>13</v>
      </c>
      <c r="D217">
        <v>30309.24</v>
      </c>
      <c r="E217" t="s">
        <v>205</v>
      </c>
    </row>
    <row r="218" spans="1:5" x14ac:dyDescent="0.3">
      <c r="A218">
        <v>1216</v>
      </c>
      <c r="B218" t="s">
        <v>5</v>
      </c>
      <c r="C218" t="s">
        <v>11</v>
      </c>
      <c r="D218">
        <v>43746.49</v>
      </c>
      <c r="E218" t="s">
        <v>206</v>
      </c>
    </row>
    <row r="219" spans="1:5" x14ac:dyDescent="0.3">
      <c r="A219">
        <v>1217</v>
      </c>
      <c r="B219" t="s">
        <v>8</v>
      </c>
      <c r="C219" t="s">
        <v>12</v>
      </c>
      <c r="D219">
        <v>5685.74</v>
      </c>
      <c r="E219" t="s">
        <v>207</v>
      </c>
    </row>
    <row r="220" spans="1:5" x14ac:dyDescent="0.3">
      <c r="A220">
        <v>1218</v>
      </c>
      <c r="B220" t="s">
        <v>7</v>
      </c>
      <c r="C220" t="s">
        <v>10</v>
      </c>
      <c r="D220">
        <v>27102.19</v>
      </c>
      <c r="E220" t="s">
        <v>110</v>
      </c>
    </row>
    <row r="221" spans="1:5" x14ac:dyDescent="0.3">
      <c r="A221">
        <v>1219</v>
      </c>
      <c r="B221" t="s">
        <v>5</v>
      </c>
      <c r="C221" t="s">
        <v>13</v>
      </c>
      <c r="D221">
        <v>39401.760000000002</v>
      </c>
      <c r="E221" t="s">
        <v>208</v>
      </c>
    </row>
    <row r="222" spans="1:5" x14ac:dyDescent="0.3">
      <c r="A222">
        <v>1220</v>
      </c>
      <c r="B222" t="s">
        <v>8</v>
      </c>
      <c r="C222" t="s">
        <v>11</v>
      </c>
      <c r="D222">
        <v>44108.38</v>
      </c>
      <c r="E222" t="s">
        <v>209</v>
      </c>
    </row>
    <row r="223" spans="1:5" x14ac:dyDescent="0.3">
      <c r="A223">
        <v>1221</v>
      </c>
      <c r="B223" t="s">
        <v>8</v>
      </c>
      <c r="C223" t="s">
        <v>11</v>
      </c>
      <c r="D223">
        <v>11058.2</v>
      </c>
      <c r="E223" t="s">
        <v>210</v>
      </c>
    </row>
    <row r="224" spans="1:5" x14ac:dyDescent="0.3">
      <c r="A224">
        <v>1222</v>
      </c>
      <c r="B224" t="s">
        <v>5</v>
      </c>
      <c r="C224" t="s">
        <v>10</v>
      </c>
      <c r="D224">
        <v>47931.55</v>
      </c>
      <c r="E224" t="s">
        <v>211</v>
      </c>
    </row>
    <row r="225" spans="1:5" x14ac:dyDescent="0.3">
      <c r="A225">
        <v>1223</v>
      </c>
      <c r="C225" t="s">
        <v>11</v>
      </c>
      <c r="D225">
        <v>15375.75</v>
      </c>
      <c r="E225" t="s">
        <v>212</v>
      </c>
    </row>
    <row r="226" spans="1:5" x14ac:dyDescent="0.3">
      <c r="A226">
        <v>1224</v>
      </c>
      <c r="B226" t="s">
        <v>8</v>
      </c>
      <c r="C226" t="s">
        <v>10</v>
      </c>
      <c r="D226">
        <v>47139.66</v>
      </c>
      <c r="E226" t="s">
        <v>213</v>
      </c>
    </row>
    <row r="227" spans="1:5" x14ac:dyDescent="0.3">
      <c r="A227">
        <v>1225</v>
      </c>
      <c r="B227" t="s">
        <v>8</v>
      </c>
      <c r="C227" t="s">
        <v>13</v>
      </c>
      <c r="D227">
        <v>21432.98</v>
      </c>
      <c r="E227" t="s">
        <v>214</v>
      </c>
    </row>
    <row r="228" spans="1:5" x14ac:dyDescent="0.3">
      <c r="A228">
        <v>1226</v>
      </c>
      <c r="B228" t="s">
        <v>9</v>
      </c>
      <c r="C228" t="s">
        <v>12</v>
      </c>
      <c r="D228">
        <v>55244.13</v>
      </c>
      <c r="E228" t="s">
        <v>215</v>
      </c>
    </row>
    <row r="229" spans="1:5" x14ac:dyDescent="0.3">
      <c r="A229">
        <v>1227</v>
      </c>
      <c r="B229" t="s">
        <v>5</v>
      </c>
      <c r="C229" t="s">
        <v>12</v>
      </c>
      <c r="D229">
        <v>23456.77</v>
      </c>
      <c r="E229" t="s">
        <v>216</v>
      </c>
    </row>
    <row r="230" spans="1:5" x14ac:dyDescent="0.3">
      <c r="A230">
        <v>1228</v>
      </c>
      <c r="B230" t="s">
        <v>7</v>
      </c>
      <c r="C230" t="s">
        <v>13</v>
      </c>
      <c r="D230">
        <v>2350.7399999999998</v>
      </c>
      <c r="E230" t="s">
        <v>217</v>
      </c>
    </row>
    <row r="231" spans="1:5" x14ac:dyDescent="0.3">
      <c r="A231">
        <v>1229</v>
      </c>
      <c r="B231" t="s">
        <v>5</v>
      </c>
      <c r="C231" t="s">
        <v>12</v>
      </c>
      <c r="D231">
        <v>51858.85</v>
      </c>
      <c r="E231" t="s">
        <v>182</v>
      </c>
    </row>
    <row r="232" spans="1:5" x14ac:dyDescent="0.3">
      <c r="A232">
        <v>1230</v>
      </c>
      <c r="B232" t="s">
        <v>7</v>
      </c>
      <c r="C232" t="s">
        <v>10</v>
      </c>
      <c r="D232">
        <v>49686.85</v>
      </c>
      <c r="E232" t="s">
        <v>218</v>
      </c>
    </row>
    <row r="233" spans="1:5" x14ac:dyDescent="0.3">
      <c r="A233">
        <v>1231</v>
      </c>
      <c r="B233" t="s">
        <v>6</v>
      </c>
      <c r="C233" t="s">
        <v>11</v>
      </c>
      <c r="D233">
        <v>57983.51</v>
      </c>
      <c r="E233" t="s">
        <v>143</v>
      </c>
    </row>
    <row r="234" spans="1:5" x14ac:dyDescent="0.3">
      <c r="A234">
        <v>1232</v>
      </c>
      <c r="B234" t="s">
        <v>7</v>
      </c>
      <c r="C234" t="s">
        <v>13</v>
      </c>
      <c r="E234" t="s">
        <v>219</v>
      </c>
    </row>
    <row r="235" spans="1:5" x14ac:dyDescent="0.3">
      <c r="A235">
        <v>1233</v>
      </c>
      <c r="B235" t="s">
        <v>5</v>
      </c>
      <c r="C235" t="s">
        <v>13</v>
      </c>
      <c r="D235">
        <v>4431.66</v>
      </c>
      <c r="E235" t="s">
        <v>220</v>
      </c>
    </row>
    <row r="236" spans="1:5" x14ac:dyDescent="0.3">
      <c r="A236">
        <v>1234</v>
      </c>
      <c r="B236" t="s">
        <v>7</v>
      </c>
      <c r="C236" t="s">
        <v>10</v>
      </c>
      <c r="D236">
        <v>47179.07</v>
      </c>
      <c r="E236" t="s">
        <v>221</v>
      </c>
    </row>
    <row r="237" spans="1:5" x14ac:dyDescent="0.3">
      <c r="A237">
        <v>1235</v>
      </c>
      <c r="B237" t="s">
        <v>9</v>
      </c>
      <c r="C237" t="s">
        <v>12</v>
      </c>
      <c r="D237">
        <v>19068.96</v>
      </c>
      <c r="E237" t="s">
        <v>222</v>
      </c>
    </row>
    <row r="238" spans="1:5" x14ac:dyDescent="0.3">
      <c r="A238">
        <v>1236</v>
      </c>
      <c r="B238" t="s">
        <v>5</v>
      </c>
      <c r="C238" t="s">
        <v>13</v>
      </c>
      <c r="D238">
        <v>21899.94</v>
      </c>
      <c r="E238" t="s">
        <v>223</v>
      </c>
    </row>
    <row r="239" spans="1:5" x14ac:dyDescent="0.3">
      <c r="A239">
        <v>1237</v>
      </c>
      <c r="B239" t="s">
        <v>8</v>
      </c>
      <c r="D239">
        <v>29399.3</v>
      </c>
      <c r="E239" t="s">
        <v>48</v>
      </c>
    </row>
    <row r="240" spans="1:5" x14ac:dyDescent="0.3">
      <c r="A240">
        <v>1238</v>
      </c>
      <c r="B240" t="s">
        <v>6</v>
      </c>
      <c r="C240" t="s">
        <v>10</v>
      </c>
      <c r="D240">
        <v>50223.9</v>
      </c>
      <c r="E240" t="s">
        <v>224</v>
      </c>
    </row>
    <row r="241" spans="1:5" x14ac:dyDescent="0.3">
      <c r="A241">
        <v>1239</v>
      </c>
      <c r="C241" t="s">
        <v>13</v>
      </c>
      <c r="D241">
        <v>39119.32</v>
      </c>
      <c r="E241" t="s">
        <v>225</v>
      </c>
    </row>
    <row r="242" spans="1:5" x14ac:dyDescent="0.3">
      <c r="A242">
        <v>1240</v>
      </c>
      <c r="B242" t="s">
        <v>7</v>
      </c>
      <c r="C242" t="s">
        <v>12</v>
      </c>
      <c r="D242">
        <v>39450.93</v>
      </c>
      <c r="E242" t="s">
        <v>226</v>
      </c>
    </row>
    <row r="243" spans="1:5" x14ac:dyDescent="0.3">
      <c r="A243">
        <v>1241</v>
      </c>
      <c r="B243" t="s">
        <v>8</v>
      </c>
      <c r="C243" t="s">
        <v>12</v>
      </c>
      <c r="D243">
        <v>47427.3</v>
      </c>
      <c r="E243" t="s">
        <v>227</v>
      </c>
    </row>
    <row r="244" spans="1:5" x14ac:dyDescent="0.3">
      <c r="A244">
        <v>1242</v>
      </c>
      <c r="B244" t="s">
        <v>7</v>
      </c>
      <c r="C244" t="s">
        <v>12</v>
      </c>
      <c r="D244">
        <v>49682.8</v>
      </c>
      <c r="E244" t="s">
        <v>88</v>
      </c>
    </row>
    <row r="245" spans="1:5" x14ac:dyDescent="0.3">
      <c r="A245">
        <v>1243</v>
      </c>
      <c r="B245" t="s">
        <v>9</v>
      </c>
      <c r="C245" t="s">
        <v>12</v>
      </c>
      <c r="D245">
        <v>9859.9699999999993</v>
      </c>
      <c r="E245" t="s">
        <v>228</v>
      </c>
    </row>
    <row r="246" spans="1:5" x14ac:dyDescent="0.3">
      <c r="A246">
        <v>1244</v>
      </c>
      <c r="B246" t="s">
        <v>8</v>
      </c>
      <c r="C246" t="s">
        <v>11</v>
      </c>
      <c r="D246">
        <v>1714.4</v>
      </c>
      <c r="E246" t="s">
        <v>229</v>
      </c>
    </row>
    <row r="247" spans="1:5" x14ac:dyDescent="0.3">
      <c r="A247">
        <v>1245</v>
      </c>
      <c r="B247" t="s">
        <v>7</v>
      </c>
      <c r="C247" t="s">
        <v>12</v>
      </c>
      <c r="D247">
        <v>47246.720000000001</v>
      </c>
      <c r="E247" t="s">
        <v>230</v>
      </c>
    </row>
    <row r="248" spans="1:5" x14ac:dyDescent="0.3">
      <c r="A248">
        <v>1246</v>
      </c>
      <c r="B248" t="s">
        <v>7</v>
      </c>
      <c r="C248" t="s">
        <v>13</v>
      </c>
      <c r="D248">
        <v>2235.75</v>
      </c>
      <c r="E248" t="s">
        <v>73</v>
      </c>
    </row>
    <row r="249" spans="1:5" x14ac:dyDescent="0.3">
      <c r="A249">
        <v>1247</v>
      </c>
      <c r="B249" t="s">
        <v>6</v>
      </c>
      <c r="C249" t="s">
        <v>13</v>
      </c>
      <c r="E249" t="s">
        <v>231</v>
      </c>
    </row>
    <row r="250" spans="1:5" x14ac:dyDescent="0.3">
      <c r="A250">
        <v>1248</v>
      </c>
      <c r="B250" t="s">
        <v>9</v>
      </c>
      <c r="D250">
        <v>48124.14</v>
      </c>
      <c r="E250" t="s">
        <v>232</v>
      </c>
    </row>
    <row r="251" spans="1:5" x14ac:dyDescent="0.3">
      <c r="A251">
        <v>1249</v>
      </c>
      <c r="B251" t="s">
        <v>7</v>
      </c>
      <c r="C251" t="s">
        <v>13</v>
      </c>
      <c r="D251">
        <v>10241.67</v>
      </c>
      <c r="E251" t="s">
        <v>80</v>
      </c>
    </row>
    <row r="252" spans="1:5" x14ac:dyDescent="0.3">
      <c r="A252">
        <v>1250</v>
      </c>
      <c r="B252" t="s">
        <v>6</v>
      </c>
      <c r="C252" t="s">
        <v>13</v>
      </c>
      <c r="D252">
        <v>37163.440000000002</v>
      </c>
      <c r="E252" t="s">
        <v>233</v>
      </c>
    </row>
    <row r="253" spans="1:5" x14ac:dyDescent="0.3">
      <c r="A253">
        <v>1251</v>
      </c>
      <c r="B253" t="s">
        <v>5</v>
      </c>
      <c r="C253" t="s">
        <v>10</v>
      </c>
      <c r="E253" t="s">
        <v>234</v>
      </c>
    </row>
    <row r="254" spans="1:5" x14ac:dyDescent="0.3">
      <c r="A254">
        <v>1252</v>
      </c>
      <c r="B254" t="s">
        <v>9</v>
      </c>
      <c r="C254" t="s">
        <v>10</v>
      </c>
      <c r="D254">
        <v>28171.83</v>
      </c>
      <c r="E254" t="s">
        <v>235</v>
      </c>
    </row>
    <row r="255" spans="1:5" x14ac:dyDescent="0.3">
      <c r="A255">
        <v>1253</v>
      </c>
      <c r="B255" t="s">
        <v>8</v>
      </c>
      <c r="C255" t="s">
        <v>11</v>
      </c>
      <c r="D255">
        <v>56305.9</v>
      </c>
      <c r="E255" t="s">
        <v>236</v>
      </c>
    </row>
    <row r="256" spans="1:5" x14ac:dyDescent="0.3">
      <c r="A256">
        <v>1254</v>
      </c>
      <c r="B256" t="s">
        <v>7</v>
      </c>
      <c r="C256" t="s">
        <v>10</v>
      </c>
      <c r="D256">
        <v>9889.89</v>
      </c>
      <c r="E256" t="s">
        <v>237</v>
      </c>
    </row>
    <row r="257" spans="1:5" x14ac:dyDescent="0.3">
      <c r="A257">
        <v>1255</v>
      </c>
      <c r="B257" t="s">
        <v>7</v>
      </c>
      <c r="C257" t="s">
        <v>12</v>
      </c>
      <c r="D257">
        <v>41644.230000000003</v>
      </c>
      <c r="E257" t="s">
        <v>238</v>
      </c>
    </row>
    <row r="258" spans="1:5" x14ac:dyDescent="0.3">
      <c r="A258">
        <v>1256</v>
      </c>
      <c r="B258" t="s">
        <v>7</v>
      </c>
      <c r="C258" t="s">
        <v>11</v>
      </c>
      <c r="D258">
        <v>44761.01</v>
      </c>
      <c r="E258" t="s">
        <v>239</v>
      </c>
    </row>
    <row r="259" spans="1:5" x14ac:dyDescent="0.3">
      <c r="A259">
        <v>1257</v>
      </c>
      <c r="B259" t="s">
        <v>6</v>
      </c>
      <c r="C259" t="s">
        <v>10</v>
      </c>
      <c r="D259">
        <v>44251.21</v>
      </c>
      <c r="E259" t="s">
        <v>114</v>
      </c>
    </row>
    <row r="260" spans="1:5" x14ac:dyDescent="0.3">
      <c r="A260">
        <v>1258</v>
      </c>
      <c r="B260" t="s">
        <v>7</v>
      </c>
      <c r="C260" t="s">
        <v>10</v>
      </c>
      <c r="D260">
        <v>50557.87</v>
      </c>
      <c r="E260" t="s">
        <v>77</v>
      </c>
    </row>
    <row r="261" spans="1:5" x14ac:dyDescent="0.3">
      <c r="A261">
        <v>1259</v>
      </c>
      <c r="B261" t="s">
        <v>5</v>
      </c>
      <c r="C261" t="s">
        <v>11</v>
      </c>
      <c r="D261">
        <v>19030.650000000001</v>
      </c>
      <c r="E261" t="s">
        <v>200</v>
      </c>
    </row>
    <row r="262" spans="1:5" x14ac:dyDescent="0.3">
      <c r="A262">
        <v>1260</v>
      </c>
      <c r="B262" t="s">
        <v>7</v>
      </c>
      <c r="C262" t="s">
        <v>12</v>
      </c>
      <c r="D262">
        <v>9131.5499999999993</v>
      </c>
      <c r="E262" t="s">
        <v>240</v>
      </c>
    </row>
    <row r="263" spans="1:5" x14ac:dyDescent="0.3">
      <c r="A263">
        <v>1758</v>
      </c>
      <c r="B263" t="s">
        <v>6</v>
      </c>
      <c r="C263" t="s">
        <v>13</v>
      </c>
      <c r="D263">
        <v>6486.45</v>
      </c>
      <c r="E263" t="s">
        <v>175</v>
      </c>
    </row>
    <row r="264" spans="1:5" x14ac:dyDescent="0.3">
      <c r="A264">
        <v>1262</v>
      </c>
      <c r="B264" t="s">
        <v>8</v>
      </c>
      <c r="C264" t="s">
        <v>12</v>
      </c>
      <c r="D264">
        <v>4115.43</v>
      </c>
      <c r="E264" t="s">
        <v>241</v>
      </c>
    </row>
    <row r="265" spans="1:5" x14ac:dyDescent="0.3">
      <c r="A265">
        <v>1263</v>
      </c>
      <c r="B265" t="s">
        <v>6</v>
      </c>
      <c r="C265" t="s">
        <v>11</v>
      </c>
      <c r="D265">
        <v>4454.5</v>
      </c>
      <c r="E265" t="s">
        <v>242</v>
      </c>
    </row>
    <row r="266" spans="1:5" x14ac:dyDescent="0.3">
      <c r="A266">
        <v>1264</v>
      </c>
      <c r="B266" t="s">
        <v>7</v>
      </c>
      <c r="C266" t="s">
        <v>13</v>
      </c>
      <c r="D266">
        <v>8220.23</v>
      </c>
      <c r="E266" t="s">
        <v>243</v>
      </c>
    </row>
    <row r="267" spans="1:5" x14ac:dyDescent="0.3">
      <c r="A267">
        <v>1265</v>
      </c>
      <c r="B267" t="s">
        <v>9</v>
      </c>
      <c r="C267" t="s">
        <v>13</v>
      </c>
      <c r="D267">
        <v>56053.69</v>
      </c>
      <c r="E267" t="s">
        <v>189</v>
      </c>
    </row>
    <row r="268" spans="1:5" x14ac:dyDescent="0.3">
      <c r="A268">
        <v>1266</v>
      </c>
      <c r="B268" t="s">
        <v>6</v>
      </c>
      <c r="C268" t="s">
        <v>10</v>
      </c>
      <c r="D268">
        <v>59476.46</v>
      </c>
      <c r="E268" t="s">
        <v>244</v>
      </c>
    </row>
    <row r="269" spans="1:5" x14ac:dyDescent="0.3">
      <c r="A269">
        <v>1267</v>
      </c>
      <c r="B269" t="s">
        <v>8</v>
      </c>
      <c r="C269" t="s">
        <v>11</v>
      </c>
      <c r="D269">
        <v>2545.61</v>
      </c>
      <c r="E269" t="s">
        <v>243</v>
      </c>
    </row>
    <row r="270" spans="1:5" x14ac:dyDescent="0.3">
      <c r="A270">
        <v>1268</v>
      </c>
      <c r="B270" t="s">
        <v>6</v>
      </c>
      <c r="C270" t="s">
        <v>12</v>
      </c>
      <c r="D270">
        <v>51310.95</v>
      </c>
      <c r="E270" t="s">
        <v>89</v>
      </c>
    </row>
    <row r="271" spans="1:5" x14ac:dyDescent="0.3">
      <c r="A271">
        <v>1269</v>
      </c>
      <c r="B271" t="s">
        <v>6</v>
      </c>
      <c r="C271" t="s">
        <v>13</v>
      </c>
      <c r="D271">
        <v>5755.49</v>
      </c>
      <c r="E271" t="s">
        <v>114</v>
      </c>
    </row>
    <row r="272" spans="1:5" x14ac:dyDescent="0.3">
      <c r="A272">
        <v>1270</v>
      </c>
      <c r="C272" t="s">
        <v>13</v>
      </c>
      <c r="D272">
        <v>8749.6200000000008</v>
      </c>
      <c r="E272" t="s">
        <v>245</v>
      </c>
    </row>
    <row r="273" spans="1:5" x14ac:dyDescent="0.3">
      <c r="A273">
        <v>1271</v>
      </c>
      <c r="B273" t="s">
        <v>7</v>
      </c>
      <c r="C273" t="s">
        <v>10</v>
      </c>
      <c r="D273">
        <v>16440.64</v>
      </c>
      <c r="E273" t="s">
        <v>246</v>
      </c>
    </row>
    <row r="274" spans="1:5" x14ac:dyDescent="0.3">
      <c r="A274">
        <v>1272</v>
      </c>
      <c r="B274" t="s">
        <v>8</v>
      </c>
      <c r="C274" t="s">
        <v>11</v>
      </c>
      <c r="D274">
        <v>50842.58</v>
      </c>
      <c r="E274" t="s">
        <v>247</v>
      </c>
    </row>
    <row r="275" spans="1:5" x14ac:dyDescent="0.3">
      <c r="A275">
        <v>1273</v>
      </c>
      <c r="C275" t="s">
        <v>11</v>
      </c>
      <c r="D275">
        <v>9215.48</v>
      </c>
      <c r="E275" t="s">
        <v>248</v>
      </c>
    </row>
    <row r="276" spans="1:5" x14ac:dyDescent="0.3">
      <c r="A276">
        <v>1274</v>
      </c>
      <c r="B276" t="s">
        <v>6</v>
      </c>
      <c r="C276" t="s">
        <v>13</v>
      </c>
      <c r="D276">
        <v>8551.2999999999993</v>
      </c>
      <c r="E276" t="s">
        <v>249</v>
      </c>
    </row>
    <row r="277" spans="1:5" x14ac:dyDescent="0.3">
      <c r="A277">
        <v>1275</v>
      </c>
      <c r="B277" t="s">
        <v>9</v>
      </c>
      <c r="C277" t="s">
        <v>13</v>
      </c>
      <c r="D277">
        <v>9552.94</v>
      </c>
      <c r="E277" t="s">
        <v>250</v>
      </c>
    </row>
    <row r="278" spans="1:5" x14ac:dyDescent="0.3">
      <c r="A278">
        <v>1276</v>
      </c>
      <c r="B278" t="s">
        <v>6</v>
      </c>
      <c r="C278" t="s">
        <v>13</v>
      </c>
      <c r="D278">
        <v>21620.880000000001</v>
      </c>
      <c r="E278" t="s">
        <v>251</v>
      </c>
    </row>
    <row r="279" spans="1:5" x14ac:dyDescent="0.3">
      <c r="A279">
        <v>1277</v>
      </c>
      <c r="B279" t="s">
        <v>7</v>
      </c>
      <c r="C279" t="s">
        <v>12</v>
      </c>
      <c r="D279">
        <v>31880.06</v>
      </c>
      <c r="E279" t="s">
        <v>252</v>
      </c>
    </row>
    <row r="280" spans="1:5" x14ac:dyDescent="0.3">
      <c r="A280">
        <v>1278</v>
      </c>
      <c r="B280" t="s">
        <v>8</v>
      </c>
      <c r="C280" t="s">
        <v>10</v>
      </c>
      <c r="D280">
        <v>37161.11</v>
      </c>
      <c r="E280" t="s">
        <v>29</v>
      </c>
    </row>
    <row r="281" spans="1:5" x14ac:dyDescent="0.3">
      <c r="A281">
        <v>1279</v>
      </c>
      <c r="B281" t="s">
        <v>7</v>
      </c>
      <c r="C281" t="s">
        <v>10</v>
      </c>
      <c r="D281">
        <v>51857.23</v>
      </c>
      <c r="E281" t="s">
        <v>253</v>
      </c>
    </row>
    <row r="282" spans="1:5" x14ac:dyDescent="0.3">
      <c r="A282">
        <v>1280</v>
      </c>
      <c r="B282" t="s">
        <v>9</v>
      </c>
      <c r="C282" t="s">
        <v>13</v>
      </c>
      <c r="D282">
        <v>47845.39</v>
      </c>
      <c r="E282" t="s">
        <v>254</v>
      </c>
    </row>
    <row r="283" spans="1:5" x14ac:dyDescent="0.3">
      <c r="A283">
        <v>1281</v>
      </c>
      <c r="B283" t="s">
        <v>7</v>
      </c>
      <c r="C283" t="s">
        <v>10</v>
      </c>
      <c r="D283">
        <v>31643.77</v>
      </c>
      <c r="E283" t="s">
        <v>255</v>
      </c>
    </row>
    <row r="284" spans="1:5" x14ac:dyDescent="0.3">
      <c r="A284">
        <v>1282</v>
      </c>
      <c r="B284" t="s">
        <v>9</v>
      </c>
      <c r="C284" t="s">
        <v>13</v>
      </c>
      <c r="D284">
        <v>46548.74</v>
      </c>
      <c r="E284" t="s">
        <v>256</v>
      </c>
    </row>
    <row r="285" spans="1:5" x14ac:dyDescent="0.3">
      <c r="A285">
        <v>1283</v>
      </c>
      <c r="B285" t="s">
        <v>8</v>
      </c>
      <c r="C285" t="s">
        <v>13</v>
      </c>
      <c r="D285">
        <v>7222.95</v>
      </c>
      <c r="E285" t="s">
        <v>257</v>
      </c>
    </row>
    <row r="286" spans="1:5" x14ac:dyDescent="0.3">
      <c r="A286">
        <v>1284</v>
      </c>
      <c r="B286" t="s">
        <v>8</v>
      </c>
      <c r="C286" t="s">
        <v>11</v>
      </c>
      <c r="D286">
        <v>17941.14</v>
      </c>
      <c r="E286" t="s">
        <v>258</v>
      </c>
    </row>
    <row r="287" spans="1:5" x14ac:dyDescent="0.3">
      <c r="A287">
        <v>1285</v>
      </c>
      <c r="B287" t="s">
        <v>9</v>
      </c>
      <c r="C287" t="s">
        <v>10</v>
      </c>
      <c r="D287">
        <v>10319.33</v>
      </c>
      <c r="E287" t="s">
        <v>259</v>
      </c>
    </row>
    <row r="288" spans="1:5" x14ac:dyDescent="0.3">
      <c r="A288">
        <v>1286</v>
      </c>
      <c r="B288" t="s">
        <v>9</v>
      </c>
      <c r="C288" t="s">
        <v>11</v>
      </c>
      <c r="D288">
        <v>30916.02</v>
      </c>
      <c r="E288" t="s">
        <v>260</v>
      </c>
    </row>
    <row r="289" spans="1:5" x14ac:dyDescent="0.3">
      <c r="A289">
        <v>1287</v>
      </c>
      <c r="B289" t="s">
        <v>6</v>
      </c>
      <c r="C289" t="s">
        <v>11</v>
      </c>
      <c r="D289">
        <v>26979.08</v>
      </c>
      <c r="E289" t="s">
        <v>48</v>
      </c>
    </row>
    <row r="290" spans="1:5" x14ac:dyDescent="0.3">
      <c r="A290">
        <v>1288</v>
      </c>
      <c r="B290" t="s">
        <v>5</v>
      </c>
      <c r="C290" t="s">
        <v>12</v>
      </c>
      <c r="D290">
        <v>8223.6</v>
      </c>
      <c r="E290" t="s">
        <v>261</v>
      </c>
    </row>
    <row r="291" spans="1:5" x14ac:dyDescent="0.3">
      <c r="A291">
        <v>1289</v>
      </c>
      <c r="B291" t="s">
        <v>5</v>
      </c>
      <c r="C291" t="s">
        <v>12</v>
      </c>
      <c r="E291" t="s">
        <v>262</v>
      </c>
    </row>
    <row r="292" spans="1:5" x14ac:dyDescent="0.3">
      <c r="A292">
        <v>1290</v>
      </c>
      <c r="B292" t="s">
        <v>9</v>
      </c>
      <c r="C292" t="s">
        <v>11</v>
      </c>
      <c r="D292">
        <v>58433.99</v>
      </c>
      <c r="E292" t="s">
        <v>263</v>
      </c>
    </row>
    <row r="293" spans="1:5" x14ac:dyDescent="0.3">
      <c r="A293">
        <v>1291</v>
      </c>
      <c r="B293" t="s">
        <v>6</v>
      </c>
      <c r="C293" t="s">
        <v>11</v>
      </c>
      <c r="D293">
        <v>28096.65</v>
      </c>
      <c r="E293" t="s">
        <v>224</v>
      </c>
    </row>
    <row r="294" spans="1:5" x14ac:dyDescent="0.3">
      <c r="A294">
        <v>1292</v>
      </c>
      <c r="B294" t="s">
        <v>7</v>
      </c>
      <c r="C294" t="s">
        <v>11</v>
      </c>
      <c r="D294">
        <v>7663.65</v>
      </c>
      <c r="E294" t="s">
        <v>264</v>
      </c>
    </row>
    <row r="295" spans="1:5" x14ac:dyDescent="0.3">
      <c r="A295">
        <v>1293</v>
      </c>
      <c r="B295" t="s">
        <v>6</v>
      </c>
      <c r="C295" t="s">
        <v>13</v>
      </c>
      <c r="D295">
        <v>45180.75</v>
      </c>
      <c r="E295" t="s">
        <v>257</v>
      </c>
    </row>
    <row r="296" spans="1:5" x14ac:dyDescent="0.3">
      <c r="A296">
        <v>1294</v>
      </c>
      <c r="B296" t="s">
        <v>5</v>
      </c>
      <c r="C296" t="s">
        <v>13</v>
      </c>
      <c r="D296">
        <v>8449.6200000000008</v>
      </c>
      <c r="E296" t="s">
        <v>265</v>
      </c>
    </row>
    <row r="297" spans="1:5" x14ac:dyDescent="0.3">
      <c r="A297">
        <v>1295</v>
      </c>
      <c r="C297" t="s">
        <v>13</v>
      </c>
      <c r="D297">
        <v>39661.660000000003</v>
      </c>
      <c r="E297" t="s">
        <v>266</v>
      </c>
    </row>
    <row r="298" spans="1:5" x14ac:dyDescent="0.3">
      <c r="A298">
        <v>1296</v>
      </c>
      <c r="B298" t="s">
        <v>7</v>
      </c>
      <c r="C298" t="s">
        <v>11</v>
      </c>
      <c r="D298">
        <v>13546.02</v>
      </c>
      <c r="E298" t="s">
        <v>226</v>
      </c>
    </row>
    <row r="299" spans="1:5" x14ac:dyDescent="0.3">
      <c r="A299">
        <v>1297</v>
      </c>
      <c r="B299" t="s">
        <v>6</v>
      </c>
      <c r="C299" t="s">
        <v>12</v>
      </c>
      <c r="D299">
        <v>4486.54</v>
      </c>
      <c r="E299" t="s">
        <v>267</v>
      </c>
    </row>
    <row r="300" spans="1:5" x14ac:dyDescent="0.3">
      <c r="A300">
        <v>1298</v>
      </c>
      <c r="B300" t="s">
        <v>5</v>
      </c>
      <c r="C300" t="s">
        <v>11</v>
      </c>
      <c r="D300">
        <v>27376.28</v>
      </c>
      <c r="E300" t="s">
        <v>268</v>
      </c>
    </row>
    <row r="301" spans="1:5" x14ac:dyDescent="0.3">
      <c r="A301">
        <v>1299</v>
      </c>
      <c r="B301" t="s">
        <v>5</v>
      </c>
      <c r="C301" t="s">
        <v>12</v>
      </c>
      <c r="D301">
        <v>29265.13</v>
      </c>
      <c r="E301" t="s">
        <v>269</v>
      </c>
    </row>
    <row r="302" spans="1:5" x14ac:dyDescent="0.3">
      <c r="A302">
        <v>1300</v>
      </c>
      <c r="B302" t="s">
        <v>7</v>
      </c>
      <c r="C302" t="s">
        <v>10</v>
      </c>
      <c r="D302">
        <v>49736.3</v>
      </c>
      <c r="E302" t="s">
        <v>270</v>
      </c>
    </row>
    <row r="303" spans="1:5" x14ac:dyDescent="0.3">
      <c r="A303">
        <v>1301</v>
      </c>
      <c r="B303" t="s">
        <v>8</v>
      </c>
      <c r="C303" t="s">
        <v>12</v>
      </c>
      <c r="D303">
        <v>17609.75</v>
      </c>
      <c r="E303" t="s">
        <v>130</v>
      </c>
    </row>
    <row r="304" spans="1:5" x14ac:dyDescent="0.3">
      <c r="A304">
        <v>1302</v>
      </c>
      <c r="B304" t="s">
        <v>6</v>
      </c>
      <c r="D304">
        <v>18774.650000000001</v>
      </c>
      <c r="E304" t="s">
        <v>271</v>
      </c>
    </row>
    <row r="305" spans="1:5" x14ac:dyDescent="0.3">
      <c r="A305">
        <v>1303</v>
      </c>
      <c r="B305" t="s">
        <v>6</v>
      </c>
      <c r="C305" t="s">
        <v>10</v>
      </c>
      <c r="D305">
        <v>52757.13</v>
      </c>
      <c r="E305" t="s">
        <v>272</v>
      </c>
    </row>
    <row r="306" spans="1:5" x14ac:dyDescent="0.3">
      <c r="A306">
        <v>1304</v>
      </c>
      <c r="B306" t="s">
        <v>8</v>
      </c>
      <c r="C306" t="s">
        <v>12</v>
      </c>
      <c r="D306">
        <v>47880.12</v>
      </c>
      <c r="E306" t="s">
        <v>261</v>
      </c>
    </row>
    <row r="307" spans="1:5" x14ac:dyDescent="0.3">
      <c r="A307">
        <v>1305</v>
      </c>
      <c r="B307" t="s">
        <v>8</v>
      </c>
      <c r="C307" t="s">
        <v>11</v>
      </c>
      <c r="D307">
        <v>13993.29</v>
      </c>
      <c r="E307" t="s">
        <v>273</v>
      </c>
    </row>
    <row r="308" spans="1:5" x14ac:dyDescent="0.3">
      <c r="A308">
        <v>1306</v>
      </c>
      <c r="B308" t="s">
        <v>5</v>
      </c>
      <c r="C308" t="s">
        <v>12</v>
      </c>
      <c r="D308">
        <v>52859.76</v>
      </c>
      <c r="E308" t="s">
        <v>274</v>
      </c>
    </row>
    <row r="309" spans="1:5" x14ac:dyDescent="0.3">
      <c r="A309">
        <v>1307</v>
      </c>
      <c r="B309" t="s">
        <v>8</v>
      </c>
      <c r="C309" t="s">
        <v>10</v>
      </c>
      <c r="D309">
        <v>9113.9</v>
      </c>
      <c r="E309" t="s">
        <v>275</v>
      </c>
    </row>
    <row r="310" spans="1:5" x14ac:dyDescent="0.3">
      <c r="A310">
        <v>1308</v>
      </c>
      <c r="B310" t="s">
        <v>8</v>
      </c>
      <c r="C310" t="s">
        <v>12</v>
      </c>
      <c r="D310">
        <v>15008.57</v>
      </c>
      <c r="E310" t="s">
        <v>276</v>
      </c>
    </row>
    <row r="311" spans="1:5" x14ac:dyDescent="0.3">
      <c r="A311">
        <v>1309</v>
      </c>
      <c r="B311" t="s">
        <v>6</v>
      </c>
      <c r="C311" t="s">
        <v>12</v>
      </c>
      <c r="D311">
        <v>36438.410000000003</v>
      </c>
      <c r="E311" t="s">
        <v>277</v>
      </c>
    </row>
    <row r="312" spans="1:5" x14ac:dyDescent="0.3">
      <c r="A312">
        <v>1310</v>
      </c>
      <c r="B312" t="s">
        <v>7</v>
      </c>
      <c r="C312" t="s">
        <v>13</v>
      </c>
      <c r="D312">
        <v>3693.28</v>
      </c>
      <c r="E312" t="s">
        <v>278</v>
      </c>
    </row>
    <row r="313" spans="1:5" x14ac:dyDescent="0.3">
      <c r="A313">
        <v>1311</v>
      </c>
      <c r="B313" t="s">
        <v>9</v>
      </c>
      <c r="C313" t="s">
        <v>11</v>
      </c>
      <c r="D313">
        <v>28714.880000000001</v>
      </c>
      <c r="E313" t="s">
        <v>27</v>
      </c>
    </row>
    <row r="314" spans="1:5" x14ac:dyDescent="0.3">
      <c r="A314">
        <v>1312</v>
      </c>
      <c r="B314" t="s">
        <v>6</v>
      </c>
      <c r="D314">
        <v>50791.55</v>
      </c>
      <c r="E314" t="s">
        <v>279</v>
      </c>
    </row>
    <row r="315" spans="1:5" x14ac:dyDescent="0.3">
      <c r="A315">
        <v>1313</v>
      </c>
      <c r="B315" t="s">
        <v>9</v>
      </c>
      <c r="C315" t="s">
        <v>10</v>
      </c>
      <c r="D315">
        <v>24423.89</v>
      </c>
      <c r="E315" t="s">
        <v>152</v>
      </c>
    </row>
    <row r="316" spans="1:5" x14ac:dyDescent="0.3">
      <c r="A316">
        <v>1314</v>
      </c>
      <c r="B316" t="s">
        <v>6</v>
      </c>
      <c r="C316" t="s">
        <v>13</v>
      </c>
      <c r="D316">
        <v>2750.43</v>
      </c>
      <c r="E316" t="s">
        <v>65</v>
      </c>
    </row>
    <row r="317" spans="1:5" x14ac:dyDescent="0.3">
      <c r="A317">
        <v>1315</v>
      </c>
      <c r="B317" t="s">
        <v>5</v>
      </c>
      <c r="C317" t="s">
        <v>11</v>
      </c>
      <c r="D317">
        <v>25250.240000000002</v>
      </c>
      <c r="E317" t="s">
        <v>280</v>
      </c>
    </row>
    <row r="318" spans="1:5" x14ac:dyDescent="0.3">
      <c r="A318">
        <v>1316</v>
      </c>
      <c r="B318" t="s">
        <v>7</v>
      </c>
      <c r="C318" t="s">
        <v>11</v>
      </c>
      <c r="E318" t="s">
        <v>281</v>
      </c>
    </row>
    <row r="319" spans="1:5" x14ac:dyDescent="0.3">
      <c r="A319">
        <v>1317</v>
      </c>
      <c r="B319" t="s">
        <v>7</v>
      </c>
      <c r="D319">
        <v>16144.96</v>
      </c>
      <c r="E319" t="s">
        <v>282</v>
      </c>
    </row>
    <row r="320" spans="1:5" x14ac:dyDescent="0.3">
      <c r="A320">
        <v>1318</v>
      </c>
      <c r="B320" t="s">
        <v>9</v>
      </c>
      <c r="C320" t="s">
        <v>13</v>
      </c>
      <c r="D320">
        <v>5189.45</v>
      </c>
      <c r="E320" t="s">
        <v>283</v>
      </c>
    </row>
    <row r="321" spans="1:5" x14ac:dyDescent="0.3">
      <c r="A321">
        <v>1319</v>
      </c>
      <c r="B321" t="s">
        <v>9</v>
      </c>
      <c r="C321" t="s">
        <v>10</v>
      </c>
      <c r="D321">
        <v>1597.74</v>
      </c>
      <c r="E321" t="s">
        <v>284</v>
      </c>
    </row>
    <row r="322" spans="1:5" x14ac:dyDescent="0.3">
      <c r="A322">
        <v>1320</v>
      </c>
      <c r="B322" t="s">
        <v>9</v>
      </c>
      <c r="C322" t="s">
        <v>11</v>
      </c>
      <c r="D322">
        <v>44717.89</v>
      </c>
      <c r="E322" t="s">
        <v>285</v>
      </c>
    </row>
    <row r="323" spans="1:5" x14ac:dyDescent="0.3">
      <c r="A323">
        <v>1321</v>
      </c>
      <c r="B323" t="s">
        <v>5</v>
      </c>
      <c r="D323">
        <v>18407.400000000001</v>
      </c>
      <c r="E323" t="s">
        <v>286</v>
      </c>
    </row>
    <row r="324" spans="1:5" x14ac:dyDescent="0.3">
      <c r="A324">
        <v>1322</v>
      </c>
      <c r="B324" t="s">
        <v>5</v>
      </c>
      <c r="C324" t="s">
        <v>11</v>
      </c>
      <c r="D324">
        <v>28529.86</v>
      </c>
      <c r="E324" t="s">
        <v>287</v>
      </c>
    </row>
    <row r="325" spans="1:5" x14ac:dyDescent="0.3">
      <c r="A325">
        <v>1323</v>
      </c>
      <c r="B325" t="s">
        <v>7</v>
      </c>
      <c r="C325" t="s">
        <v>13</v>
      </c>
      <c r="D325">
        <v>47550.12</v>
      </c>
      <c r="E325" t="s">
        <v>288</v>
      </c>
    </row>
    <row r="326" spans="1:5" x14ac:dyDescent="0.3">
      <c r="A326">
        <v>1324</v>
      </c>
      <c r="B326" t="s">
        <v>9</v>
      </c>
      <c r="C326" t="s">
        <v>13</v>
      </c>
      <c r="D326">
        <v>6833.54</v>
      </c>
      <c r="E326" t="s">
        <v>289</v>
      </c>
    </row>
    <row r="327" spans="1:5" x14ac:dyDescent="0.3">
      <c r="A327">
        <v>1325</v>
      </c>
      <c r="B327" t="s">
        <v>9</v>
      </c>
      <c r="C327" t="s">
        <v>11</v>
      </c>
      <c r="D327">
        <v>10844.75</v>
      </c>
      <c r="E327" t="s">
        <v>290</v>
      </c>
    </row>
    <row r="328" spans="1:5" x14ac:dyDescent="0.3">
      <c r="A328">
        <v>1326</v>
      </c>
      <c r="B328" t="s">
        <v>5</v>
      </c>
      <c r="C328" t="s">
        <v>13</v>
      </c>
      <c r="E328" t="s">
        <v>291</v>
      </c>
    </row>
    <row r="329" spans="1:5" x14ac:dyDescent="0.3">
      <c r="A329">
        <v>1327</v>
      </c>
      <c r="B329" t="s">
        <v>9</v>
      </c>
      <c r="C329" t="s">
        <v>13</v>
      </c>
      <c r="D329">
        <v>34021.620000000003</v>
      </c>
      <c r="E329" t="s">
        <v>292</v>
      </c>
    </row>
    <row r="330" spans="1:5" x14ac:dyDescent="0.3">
      <c r="A330">
        <v>1328</v>
      </c>
      <c r="C330" t="s">
        <v>13</v>
      </c>
      <c r="D330">
        <v>23668.2</v>
      </c>
      <c r="E330" t="s">
        <v>293</v>
      </c>
    </row>
    <row r="331" spans="1:5" x14ac:dyDescent="0.3">
      <c r="A331">
        <v>1329</v>
      </c>
      <c r="B331" t="s">
        <v>7</v>
      </c>
      <c r="C331" t="s">
        <v>13</v>
      </c>
      <c r="D331">
        <v>9676.65</v>
      </c>
      <c r="E331" t="s">
        <v>294</v>
      </c>
    </row>
    <row r="332" spans="1:5" x14ac:dyDescent="0.3">
      <c r="A332">
        <v>1330</v>
      </c>
      <c r="B332" t="s">
        <v>9</v>
      </c>
      <c r="C332" t="s">
        <v>11</v>
      </c>
      <c r="D332">
        <v>53415.82</v>
      </c>
      <c r="E332" t="s">
        <v>295</v>
      </c>
    </row>
    <row r="333" spans="1:5" x14ac:dyDescent="0.3">
      <c r="A333">
        <v>1331</v>
      </c>
      <c r="B333" t="s">
        <v>8</v>
      </c>
      <c r="C333" t="s">
        <v>11</v>
      </c>
      <c r="E333" t="s">
        <v>296</v>
      </c>
    </row>
    <row r="334" spans="1:5" x14ac:dyDescent="0.3">
      <c r="A334">
        <v>1332</v>
      </c>
      <c r="B334" t="s">
        <v>5</v>
      </c>
      <c r="C334" t="s">
        <v>10</v>
      </c>
      <c r="D334">
        <v>50185.35</v>
      </c>
      <c r="E334" t="s">
        <v>297</v>
      </c>
    </row>
    <row r="335" spans="1:5" x14ac:dyDescent="0.3">
      <c r="A335">
        <v>1333</v>
      </c>
      <c r="B335" t="s">
        <v>9</v>
      </c>
      <c r="C335" t="s">
        <v>12</v>
      </c>
      <c r="D335">
        <v>50010.62</v>
      </c>
      <c r="E335" t="s">
        <v>282</v>
      </c>
    </row>
    <row r="336" spans="1:5" x14ac:dyDescent="0.3">
      <c r="A336">
        <v>1334</v>
      </c>
      <c r="B336" t="s">
        <v>6</v>
      </c>
      <c r="C336" t="s">
        <v>13</v>
      </c>
      <c r="D336">
        <v>24704.95</v>
      </c>
      <c r="E336" t="s">
        <v>298</v>
      </c>
    </row>
    <row r="337" spans="1:5" x14ac:dyDescent="0.3">
      <c r="A337">
        <v>1335</v>
      </c>
      <c r="B337" t="s">
        <v>7</v>
      </c>
      <c r="C337" t="s">
        <v>10</v>
      </c>
      <c r="D337">
        <v>9731.06</v>
      </c>
      <c r="E337" t="s">
        <v>299</v>
      </c>
    </row>
    <row r="338" spans="1:5" x14ac:dyDescent="0.3">
      <c r="A338">
        <v>1336</v>
      </c>
      <c r="B338" t="s">
        <v>8</v>
      </c>
      <c r="C338" t="s">
        <v>13</v>
      </c>
      <c r="D338">
        <v>32469.81</v>
      </c>
      <c r="E338" t="s">
        <v>300</v>
      </c>
    </row>
    <row r="339" spans="1:5" x14ac:dyDescent="0.3">
      <c r="A339">
        <v>1337</v>
      </c>
      <c r="B339" t="s">
        <v>5</v>
      </c>
      <c r="C339" t="s">
        <v>10</v>
      </c>
      <c r="D339">
        <v>28540.14</v>
      </c>
      <c r="E339" t="s">
        <v>301</v>
      </c>
    </row>
    <row r="340" spans="1:5" x14ac:dyDescent="0.3">
      <c r="A340">
        <v>1338</v>
      </c>
      <c r="B340" t="s">
        <v>9</v>
      </c>
      <c r="C340" t="s">
        <v>10</v>
      </c>
      <c r="D340">
        <v>18844.400000000001</v>
      </c>
      <c r="E340" t="s">
        <v>302</v>
      </c>
    </row>
    <row r="341" spans="1:5" x14ac:dyDescent="0.3">
      <c r="A341">
        <v>1339</v>
      </c>
      <c r="B341" t="s">
        <v>5</v>
      </c>
      <c r="C341" t="s">
        <v>10</v>
      </c>
      <c r="D341">
        <v>30047.200000000001</v>
      </c>
      <c r="E341" t="s">
        <v>303</v>
      </c>
    </row>
    <row r="342" spans="1:5" x14ac:dyDescent="0.3">
      <c r="A342">
        <v>1340</v>
      </c>
      <c r="B342" t="s">
        <v>7</v>
      </c>
      <c r="C342" t="s">
        <v>12</v>
      </c>
      <c r="D342">
        <v>48588.77</v>
      </c>
      <c r="E342" t="s">
        <v>246</v>
      </c>
    </row>
    <row r="343" spans="1:5" x14ac:dyDescent="0.3">
      <c r="A343">
        <v>1341</v>
      </c>
      <c r="B343" t="s">
        <v>7</v>
      </c>
      <c r="C343" t="s">
        <v>11</v>
      </c>
      <c r="D343">
        <v>53692.32</v>
      </c>
      <c r="E343" t="s">
        <v>275</v>
      </c>
    </row>
    <row r="344" spans="1:5" x14ac:dyDescent="0.3">
      <c r="A344">
        <v>1342</v>
      </c>
      <c r="B344" t="s">
        <v>5</v>
      </c>
      <c r="C344" t="s">
        <v>12</v>
      </c>
      <c r="D344">
        <v>45993.19</v>
      </c>
      <c r="E344" t="s">
        <v>304</v>
      </c>
    </row>
    <row r="345" spans="1:5" x14ac:dyDescent="0.3">
      <c r="A345">
        <v>1343</v>
      </c>
      <c r="B345" t="s">
        <v>6</v>
      </c>
      <c r="C345" t="s">
        <v>11</v>
      </c>
      <c r="D345">
        <v>48461.8</v>
      </c>
      <c r="E345" t="s">
        <v>305</v>
      </c>
    </row>
    <row r="346" spans="1:5" x14ac:dyDescent="0.3">
      <c r="A346">
        <v>1344</v>
      </c>
      <c r="B346" t="s">
        <v>9</v>
      </c>
      <c r="C346" t="s">
        <v>11</v>
      </c>
      <c r="D346">
        <v>6298.92</v>
      </c>
      <c r="E346" t="s">
        <v>306</v>
      </c>
    </row>
    <row r="347" spans="1:5" x14ac:dyDescent="0.3">
      <c r="A347">
        <v>1345</v>
      </c>
      <c r="B347" t="s">
        <v>7</v>
      </c>
      <c r="C347" t="s">
        <v>11</v>
      </c>
      <c r="D347">
        <v>45452.25</v>
      </c>
      <c r="E347" t="s">
        <v>307</v>
      </c>
    </row>
    <row r="348" spans="1:5" x14ac:dyDescent="0.3">
      <c r="A348">
        <v>1346</v>
      </c>
      <c r="B348" t="s">
        <v>7</v>
      </c>
      <c r="C348" t="s">
        <v>10</v>
      </c>
      <c r="D348">
        <v>5581.31</v>
      </c>
      <c r="E348" t="s">
        <v>308</v>
      </c>
    </row>
    <row r="349" spans="1:5" x14ac:dyDescent="0.3">
      <c r="A349">
        <v>1347</v>
      </c>
      <c r="B349" t="s">
        <v>8</v>
      </c>
      <c r="C349" t="s">
        <v>12</v>
      </c>
      <c r="D349">
        <v>5266.67</v>
      </c>
      <c r="E349" t="s">
        <v>252</v>
      </c>
    </row>
    <row r="350" spans="1:5" x14ac:dyDescent="0.3">
      <c r="A350">
        <v>1348</v>
      </c>
      <c r="B350" t="s">
        <v>8</v>
      </c>
      <c r="C350" t="s">
        <v>12</v>
      </c>
      <c r="D350">
        <v>15291.64</v>
      </c>
      <c r="E350" t="s">
        <v>309</v>
      </c>
    </row>
    <row r="351" spans="1:5" x14ac:dyDescent="0.3">
      <c r="A351">
        <v>1349</v>
      </c>
      <c r="B351" t="s">
        <v>7</v>
      </c>
      <c r="C351" t="s">
        <v>11</v>
      </c>
      <c r="D351">
        <v>17579.27</v>
      </c>
      <c r="E351" t="s">
        <v>310</v>
      </c>
    </row>
    <row r="352" spans="1:5" x14ac:dyDescent="0.3">
      <c r="A352">
        <v>1350</v>
      </c>
      <c r="B352" t="s">
        <v>9</v>
      </c>
      <c r="C352" t="s">
        <v>13</v>
      </c>
      <c r="D352">
        <v>38788.089999999997</v>
      </c>
      <c r="E352" t="s">
        <v>311</v>
      </c>
    </row>
    <row r="353" spans="1:5" x14ac:dyDescent="0.3">
      <c r="A353">
        <v>1351</v>
      </c>
      <c r="B353" t="s">
        <v>7</v>
      </c>
      <c r="C353" t="s">
        <v>10</v>
      </c>
      <c r="D353">
        <v>27511.63</v>
      </c>
      <c r="E353" t="s">
        <v>312</v>
      </c>
    </row>
    <row r="354" spans="1:5" x14ac:dyDescent="0.3">
      <c r="A354">
        <v>1352</v>
      </c>
      <c r="B354" t="s">
        <v>5</v>
      </c>
      <c r="C354" t="s">
        <v>13</v>
      </c>
      <c r="D354">
        <v>18888.45</v>
      </c>
      <c r="E354" t="s">
        <v>313</v>
      </c>
    </row>
    <row r="355" spans="1:5" x14ac:dyDescent="0.3">
      <c r="A355">
        <v>1353</v>
      </c>
      <c r="B355" t="s">
        <v>5</v>
      </c>
      <c r="C355" t="s">
        <v>11</v>
      </c>
      <c r="D355">
        <v>17772.169999999998</v>
      </c>
      <c r="E355" t="s">
        <v>314</v>
      </c>
    </row>
    <row r="356" spans="1:5" x14ac:dyDescent="0.3">
      <c r="A356">
        <v>1354</v>
      </c>
      <c r="B356" t="s">
        <v>9</v>
      </c>
      <c r="C356" t="s">
        <v>11</v>
      </c>
      <c r="D356">
        <v>47197.98</v>
      </c>
      <c r="E356" t="s">
        <v>315</v>
      </c>
    </row>
    <row r="357" spans="1:5" x14ac:dyDescent="0.3">
      <c r="A357">
        <v>1355</v>
      </c>
      <c r="B357" t="s">
        <v>6</v>
      </c>
      <c r="C357" t="s">
        <v>12</v>
      </c>
      <c r="E357" t="s">
        <v>316</v>
      </c>
    </row>
    <row r="358" spans="1:5" x14ac:dyDescent="0.3">
      <c r="A358">
        <v>1356</v>
      </c>
      <c r="B358" t="s">
        <v>8</v>
      </c>
      <c r="C358" t="s">
        <v>11</v>
      </c>
      <c r="D358">
        <v>52126.33</v>
      </c>
      <c r="E358" t="s">
        <v>317</v>
      </c>
    </row>
    <row r="359" spans="1:5" x14ac:dyDescent="0.3">
      <c r="A359">
        <v>1357</v>
      </c>
      <c r="B359" t="s">
        <v>9</v>
      </c>
      <c r="C359" t="s">
        <v>13</v>
      </c>
      <c r="D359">
        <v>7845.34</v>
      </c>
      <c r="E359" t="s">
        <v>318</v>
      </c>
    </row>
    <row r="360" spans="1:5" x14ac:dyDescent="0.3">
      <c r="A360">
        <v>1358</v>
      </c>
      <c r="B360" t="s">
        <v>7</v>
      </c>
      <c r="C360" t="s">
        <v>12</v>
      </c>
      <c r="D360">
        <v>52655.16</v>
      </c>
      <c r="E360" t="s">
        <v>121</v>
      </c>
    </row>
    <row r="361" spans="1:5" x14ac:dyDescent="0.3">
      <c r="A361">
        <v>1359</v>
      </c>
      <c r="B361" t="s">
        <v>6</v>
      </c>
      <c r="C361" t="s">
        <v>12</v>
      </c>
      <c r="D361">
        <v>47127.61</v>
      </c>
      <c r="E361" t="s">
        <v>232</v>
      </c>
    </row>
    <row r="362" spans="1:5" x14ac:dyDescent="0.3">
      <c r="A362">
        <v>1360</v>
      </c>
      <c r="B362" t="s">
        <v>8</v>
      </c>
      <c r="C362" t="s">
        <v>12</v>
      </c>
      <c r="D362">
        <v>7547.67</v>
      </c>
      <c r="E362" t="s">
        <v>129</v>
      </c>
    </row>
    <row r="363" spans="1:5" x14ac:dyDescent="0.3">
      <c r="A363">
        <v>1361</v>
      </c>
      <c r="B363" t="s">
        <v>7</v>
      </c>
      <c r="C363" t="s">
        <v>10</v>
      </c>
      <c r="D363">
        <v>51170.53</v>
      </c>
      <c r="E363" t="s">
        <v>319</v>
      </c>
    </row>
    <row r="364" spans="1:5" x14ac:dyDescent="0.3">
      <c r="A364">
        <v>1362</v>
      </c>
      <c r="B364" t="s">
        <v>7</v>
      </c>
      <c r="C364" t="s">
        <v>11</v>
      </c>
      <c r="D364">
        <v>3120.38</v>
      </c>
      <c r="E364" t="s">
        <v>320</v>
      </c>
    </row>
    <row r="365" spans="1:5" x14ac:dyDescent="0.3">
      <c r="A365">
        <v>1363</v>
      </c>
      <c r="B365" t="s">
        <v>5</v>
      </c>
      <c r="C365" t="s">
        <v>10</v>
      </c>
      <c r="D365">
        <v>28621.09</v>
      </c>
      <c r="E365" t="s">
        <v>321</v>
      </c>
    </row>
    <row r="366" spans="1:5" x14ac:dyDescent="0.3">
      <c r="A366">
        <v>1364</v>
      </c>
      <c r="B366" t="s">
        <v>8</v>
      </c>
      <c r="C366" t="s">
        <v>11</v>
      </c>
      <c r="D366">
        <v>16787.97</v>
      </c>
      <c r="E366" t="s">
        <v>322</v>
      </c>
    </row>
    <row r="367" spans="1:5" x14ac:dyDescent="0.3">
      <c r="A367">
        <v>1365</v>
      </c>
      <c r="B367" t="s">
        <v>8</v>
      </c>
      <c r="C367" t="s">
        <v>12</v>
      </c>
      <c r="D367">
        <v>2853.89</v>
      </c>
      <c r="E367" t="s">
        <v>323</v>
      </c>
    </row>
    <row r="368" spans="1:5" x14ac:dyDescent="0.3">
      <c r="A368">
        <v>1366</v>
      </c>
      <c r="B368" t="s">
        <v>8</v>
      </c>
      <c r="C368" t="s">
        <v>12</v>
      </c>
      <c r="E368" t="s">
        <v>35</v>
      </c>
    </row>
    <row r="369" spans="1:5" x14ac:dyDescent="0.3">
      <c r="A369">
        <v>1367</v>
      </c>
      <c r="B369" t="s">
        <v>7</v>
      </c>
      <c r="C369" t="s">
        <v>10</v>
      </c>
      <c r="D369">
        <v>8407.4599999999991</v>
      </c>
      <c r="E369" t="s">
        <v>324</v>
      </c>
    </row>
    <row r="370" spans="1:5" x14ac:dyDescent="0.3">
      <c r="A370">
        <v>1368</v>
      </c>
      <c r="B370" t="s">
        <v>6</v>
      </c>
      <c r="C370" t="s">
        <v>10</v>
      </c>
      <c r="D370">
        <v>20593.86</v>
      </c>
      <c r="E370" t="s">
        <v>196</v>
      </c>
    </row>
    <row r="371" spans="1:5" x14ac:dyDescent="0.3">
      <c r="A371">
        <v>1369</v>
      </c>
      <c r="B371" t="s">
        <v>5</v>
      </c>
      <c r="D371">
        <v>39141.07</v>
      </c>
      <c r="E371" t="s">
        <v>325</v>
      </c>
    </row>
    <row r="372" spans="1:5" x14ac:dyDescent="0.3">
      <c r="A372">
        <v>1370</v>
      </c>
      <c r="B372" t="s">
        <v>9</v>
      </c>
      <c r="C372" t="s">
        <v>10</v>
      </c>
      <c r="D372">
        <v>13218.6</v>
      </c>
      <c r="E372" t="s">
        <v>176</v>
      </c>
    </row>
    <row r="373" spans="1:5" x14ac:dyDescent="0.3">
      <c r="A373">
        <v>1371</v>
      </c>
      <c r="B373" t="s">
        <v>9</v>
      </c>
      <c r="C373" t="s">
        <v>12</v>
      </c>
      <c r="D373">
        <v>28954.78</v>
      </c>
      <c r="E373" t="s">
        <v>318</v>
      </c>
    </row>
    <row r="374" spans="1:5" x14ac:dyDescent="0.3">
      <c r="A374">
        <v>1372</v>
      </c>
      <c r="B374" t="s">
        <v>6</v>
      </c>
      <c r="C374" t="s">
        <v>11</v>
      </c>
      <c r="D374">
        <v>34116.32</v>
      </c>
      <c r="E374" t="s">
        <v>326</v>
      </c>
    </row>
    <row r="375" spans="1:5" x14ac:dyDescent="0.3">
      <c r="A375">
        <v>1373</v>
      </c>
      <c r="B375" t="s">
        <v>6</v>
      </c>
      <c r="C375" t="s">
        <v>10</v>
      </c>
      <c r="D375">
        <v>35119.61</v>
      </c>
      <c r="E375" t="s">
        <v>327</v>
      </c>
    </row>
    <row r="376" spans="1:5" x14ac:dyDescent="0.3">
      <c r="A376">
        <v>1374</v>
      </c>
      <c r="B376" t="s">
        <v>8</v>
      </c>
      <c r="C376" t="s">
        <v>11</v>
      </c>
      <c r="D376">
        <v>56896.32</v>
      </c>
      <c r="E376" t="s">
        <v>328</v>
      </c>
    </row>
    <row r="377" spans="1:5" x14ac:dyDescent="0.3">
      <c r="A377">
        <v>1375</v>
      </c>
      <c r="B377" t="s">
        <v>5</v>
      </c>
      <c r="C377" t="s">
        <v>12</v>
      </c>
      <c r="D377">
        <v>9690.8799999999992</v>
      </c>
      <c r="E377" t="s">
        <v>299</v>
      </c>
    </row>
    <row r="378" spans="1:5" x14ac:dyDescent="0.3">
      <c r="A378">
        <v>1376</v>
      </c>
      <c r="B378" t="s">
        <v>6</v>
      </c>
      <c r="C378" t="s">
        <v>12</v>
      </c>
      <c r="D378">
        <v>21901.8</v>
      </c>
      <c r="E378" t="s">
        <v>329</v>
      </c>
    </row>
    <row r="379" spans="1:5" x14ac:dyDescent="0.3">
      <c r="A379">
        <v>1377</v>
      </c>
      <c r="B379" t="s">
        <v>6</v>
      </c>
      <c r="C379" t="s">
        <v>12</v>
      </c>
      <c r="D379">
        <v>26536.14</v>
      </c>
      <c r="E379" t="s">
        <v>158</v>
      </c>
    </row>
    <row r="380" spans="1:5" x14ac:dyDescent="0.3">
      <c r="A380">
        <v>1378</v>
      </c>
      <c r="B380" t="s">
        <v>8</v>
      </c>
      <c r="C380" t="s">
        <v>13</v>
      </c>
      <c r="D380">
        <v>59703.9</v>
      </c>
      <c r="E380" t="s">
        <v>178</v>
      </c>
    </row>
    <row r="381" spans="1:5" x14ac:dyDescent="0.3">
      <c r="A381">
        <v>1379</v>
      </c>
      <c r="B381" t="s">
        <v>5</v>
      </c>
      <c r="C381" t="s">
        <v>12</v>
      </c>
      <c r="D381">
        <v>42991.65</v>
      </c>
      <c r="E381" t="s">
        <v>123</v>
      </c>
    </row>
    <row r="382" spans="1:5" x14ac:dyDescent="0.3">
      <c r="A382">
        <v>1380</v>
      </c>
      <c r="B382" t="s">
        <v>9</v>
      </c>
      <c r="C382" t="s">
        <v>13</v>
      </c>
      <c r="D382">
        <v>1768.74</v>
      </c>
      <c r="E382" t="s">
        <v>330</v>
      </c>
    </row>
    <row r="383" spans="1:5" x14ac:dyDescent="0.3">
      <c r="A383">
        <v>1381</v>
      </c>
      <c r="B383" t="s">
        <v>7</v>
      </c>
      <c r="C383" t="s">
        <v>12</v>
      </c>
      <c r="D383">
        <v>58056.11</v>
      </c>
      <c r="E383" t="s">
        <v>331</v>
      </c>
    </row>
    <row r="384" spans="1:5" x14ac:dyDescent="0.3">
      <c r="A384">
        <v>1382</v>
      </c>
      <c r="B384" t="s">
        <v>8</v>
      </c>
      <c r="C384" t="s">
        <v>13</v>
      </c>
      <c r="D384">
        <v>40329.43</v>
      </c>
      <c r="E384" t="s">
        <v>332</v>
      </c>
    </row>
    <row r="385" spans="1:5" x14ac:dyDescent="0.3">
      <c r="A385">
        <v>1383</v>
      </c>
      <c r="B385" t="s">
        <v>5</v>
      </c>
      <c r="C385" t="s">
        <v>13</v>
      </c>
      <c r="D385">
        <v>23242.15</v>
      </c>
      <c r="E385" t="s">
        <v>333</v>
      </c>
    </row>
    <row r="386" spans="1:5" x14ac:dyDescent="0.3">
      <c r="A386">
        <v>1384</v>
      </c>
      <c r="B386" t="s">
        <v>9</v>
      </c>
      <c r="C386" t="s">
        <v>12</v>
      </c>
      <c r="D386">
        <v>44002.83</v>
      </c>
      <c r="E386" t="s">
        <v>334</v>
      </c>
    </row>
    <row r="387" spans="1:5" x14ac:dyDescent="0.3">
      <c r="A387">
        <v>1385</v>
      </c>
      <c r="B387" t="s">
        <v>8</v>
      </c>
      <c r="C387" t="s">
        <v>10</v>
      </c>
      <c r="E387" t="s">
        <v>302</v>
      </c>
    </row>
    <row r="388" spans="1:5" x14ac:dyDescent="0.3">
      <c r="A388">
        <v>1386</v>
      </c>
      <c r="B388" t="s">
        <v>7</v>
      </c>
      <c r="C388" t="s">
        <v>13</v>
      </c>
      <c r="E388" t="s">
        <v>335</v>
      </c>
    </row>
    <row r="389" spans="1:5" x14ac:dyDescent="0.3">
      <c r="A389">
        <v>1387</v>
      </c>
      <c r="C389" t="s">
        <v>12</v>
      </c>
      <c r="D389">
        <v>17257.330000000002</v>
      </c>
      <c r="E389" t="s">
        <v>336</v>
      </c>
    </row>
    <row r="390" spans="1:5" x14ac:dyDescent="0.3">
      <c r="A390">
        <v>1388</v>
      </c>
      <c r="B390" t="s">
        <v>6</v>
      </c>
      <c r="C390" t="s">
        <v>10</v>
      </c>
      <c r="D390">
        <v>12303.98</v>
      </c>
      <c r="E390" t="s">
        <v>157</v>
      </c>
    </row>
    <row r="391" spans="1:5" x14ac:dyDescent="0.3">
      <c r="A391">
        <v>1389</v>
      </c>
      <c r="B391" t="s">
        <v>6</v>
      </c>
      <c r="C391" t="s">
        <v>11</v>
      </c>
      <c r="D391">
        <v>9742.5</v>
      </c>
      <c r="E391" t="s">
        <v>337</v>
      </c>
    </row>
    <row r="392" spans="1:5" x14ac:dyDescent="0.3">
      <c r="A392">
        <v>1390</v>
      </c>
      <c r="B392" t="s">
        <v>5</v>
      </c>
      <c r="C392" t="s">
        <v>11</v>
      </c>
      <c r="D392">
        <v>20253.97</v>
      </c>
      <c r="E392" t="s">
        <v>242</v>
      </c>
    </row>
    <row r="393" spans="1:5" x14ac:dyDescent="0.3">
      <c r="A393">
        <v>1391</v>
      </c>
      <c r="B393" t="s">
        <v>9</v>
      </c>
      <c r="C393" t="s">
        <v>13</v>
      </c>
      <c r="D393">
        <v>29103.81</v>
      </c>
      <c r="E393" t="s">
        <v>203</v>
      </c>
    </row>
    <row r="394" spans="1:5" x14ac:dyDescent="0.3">
      <c r="A394">
        <v>1392</v>
      </c>
      <c r="B394" t="s">
        <v>5</v>
      </c>
      <c r="C394" t="s">
        <v>12</v>
      </c>
      <c r="D394">
        <v>13217.47</v>
      </c>
      <c r="E394" t="s">
        <v>338</v>
      </c>
    </row>
    <row r="395" spans="1:5" x14ac:dyDescent="0.3">
      <c r="A395">
        <v>1393</v>
      </c>
      <c r="B395" t="s">
        <v>9</v>
      </c>
      <c r="C395" t="s">
        <v>10</v>
      </c>
      <c r="D395">
        <v>3810.83</v>
      </c>
      <c r="E395" t="s">
        <v>339</v>
      </c>
    </row>
    <row r="396" spans="1:5" x14ac:dyDescent="0.3">
      <c r="A396">
        <v>1394</v>
      </c>
      <c r="B396" t="s">
        <v>8</v>
      </c>
      <c r="C396" t="s">
        <v>13</v>
      </c>
      <c r="D396">
        <v>17665.87</v>
      </c>
      <c r="E396" t="s">
        <v>257</v>
      </c>
    </row>
    <row r="397" spans="1:5" x14ac:dyDescent="0.3">
      <c r="A397">
        <v>1395</v>
      </c>
      <c r="B397" t="s">
        <v>8</v>
      </c>
      <c r="C397" t="s">
        <v>10</v>
      </c>
      <c r="D397">
        <v>22368.400000000001</v>
      </c>
      <c r="E397" t="s">
        <v>49</v>
      </c>
    </row>
    <row r="398" spans="1:5" x14ac:dyDescent="0.3">
      <c r="A398">
        <v>1396</v>
      </c>
      <c r="B398" t="s">
        <v>9</v>
      </c>
      <c r="C398" t="s">
        <v>11</v>
      </c>
      <c r="E398" t="s">
        <v>340</v>
      </c>
    </row>
    <row r="399" spans="1:5" x14ac:dyDescent="0.3">
      <c r="A399">
        <v>1397</v>
      </c>
      <c r="B399" t="s">
        <v>7</v>
      </c>
      <c r="C399" t="s">
        <v>13</v>
      </c>
      <c r="D399">
        <v>45785.07</v>
      </c>
      <c r="E399" t="s">
        <v>51</v>
      </c>
    </row>
    <row r="400" spans="1:5" x14ac:dyDescent="0.3">
      <c r="A400">
        <v>1398</v>
      </c>
      <c r="B400" t="s">
        <v>9</v>
      </c>
      <c r="C400" t="s">
        <v>12</v>
      </c>
      <c r="D400">
        <v>54214.47</v>
      </c>
      <c r="E400" t="s">
        <v>341</v>
      </c>
    </row>
    <row r="401" spans="1:5" x14ac:dyDescent="0.3">
      <c r="A401">
        <v>1399</v>
      </c>
      <c r="B401" t="s">
        <v>7</v>
      </c>
      <c r="C401" t="s">
        <v>11</v>
      </c>
      <c r="D401">
        <v>33125.32</v>
      </c>
      <c r="E401" t="s">
        <v>342</v>
      </c>
    </row>
    <row r="402" spans="1:5" x14ac:dyDescent="0.3">
      <c r="A402">
        <v>1400</v>
      </c>
      <c r="B402" t="s">
        <v>8</v>
      </c>
      <c r="C402" t="s">
        <v>10</v>
      </c>
      <c r="D402">
        <v>29430.18</v>
      </c>
      <c r="E402" t="s">
        <v>298</v>
      </c>
    </row>
    <row r="403" spans="1:5" x14ac:dyDescent="0.3">
      <c r="A403">
        <v>1401</v>
      </c>
      <c r="B403" t="s">
        <v>7</v>
      </c>
      <c r="C403" t="s">
        <v>10</v>
      </c>
      <c r="D403">
        <v>31024.54</v>
      </c>
      <c r="E403" t="s">
        <v>343</v>
      </c>
    </row>
    <row r="404" spans="1:5" x14ac:dyDescent="0.3">
      <c r="A404">
        <v>1402</v>
      </c>
      <c r="B404" t="s">
        <v>6</v>
      </c>
      <c r="C404" t="s">
        <v>13</v>
      </c>
      <c r="D404">
        <v>8199.7999999999993</v>
      </c>
      <c r="E404" t="s">
        <v>344</v>
      </c>
    </row>
    <row r="405" spans="1:5" x14ac:dyDescent="0.3">
      <c r="A405">
        <v>1403</v>
      </c>
      <c r="B405" t="s">
        <v>7</v>
      </c>
      <c r="C405" t="s">
        <v>11</v>
      </c>
      <c r="D405">
        <v>40243.629999999997</v>
      </c>
      <c r="E405" t="s">
        <v>345</v>
      </c>
    </row>
    <row r="406" spans="1:5" x14ac:dyDescent="0.3">
      <c r="A406">
        <v>1404</v>
      </c>
      <c r="B406" t="s">
        <v>8</v>
      </c>
      <c r="C406" t="s">
        <v>13</v>
      </c>
      <c r="D406">
        <v>23450.54</v>
      </c>
      <c r="E406" t="s">
        <v>346</v>
      </c>
    </row>
    <row r="407" spans="1:5" x14ac:dyDescent="0.3">
      <c r="A407">
        <v>1405</v>
      </c>
      <c r="C407" t="s">
        <v>11</v>
      </c>
      <c r="D407">
        <v>48055.29</v>
      </c>
      <c r="E407" t="s">
        <v>347</v>
      </c>
    </row>
    <row r="408" spans="1:5" x14ac:dyDescent="0.3">
      <c r="A408">
        <v>1406</v>
      </c>
      <c r="B408" t="s">
        <v>7</v>
      </c>
      <c r="C408" t="s">
        <v>11</v>
      </c>
      <c r="D408">
        <v>58055.08</v>
      </c>
      <c r="E408" t="s">
        <v>348</v>
      </c>
    </row>
    <row r="409" spans="1:5" x14ac:dyDescent="0.3">
      <c r="A409">
        <v>1407</v>
      </c>
      <c r="B409" t="s">
        <v>7</v>
      </c>
      <c r="C409" t="s">
        <v>13</v>
      </c>
      <c r="D409">
        <v>57195.56</v>
      </c>
      <c r="E409" t="s">
        <v>349</v>
      </c>
    </row>
    <row r="410" spans="1:5" x14ac:dyDescent="0.3">
      <c r="A410">
        <v>1408</v>
      </c>
      <c r="B410" t="s">
        <v>6</v>
      </c>
      <c r="C410" t="s">
        <v>10</v>
      </c>
      <c r="D410">
        <v>52413.43</v>
      </c>
      <c r="E410" t="s">
        <v>49</v>
      </c>
    </row>
    <row r="411" spans="1:5" x14ac:dyDescent="0.3">
      <c r="A411">
        <v>1409</v>
      </c>
      <c r="B411" t="s">
        <v>5</v>
      </c>
      <c r="C411" t="s">
        <v>13</v>
      </c>
      <c r="D411">
        <v>1717.25</v>
      </c>
      <c r="E411" t="s">
        <v>350</v>
      </c>
    </row>
    <row r="412" spans="1:5" x14ac:dyDescent="0.3">
      <c r="A412">
        <v>1410</v>
      </c>
      <c r="B412" t="s">
        <v>6</v>
      </c>
      <c r="C412" t="s">
        <v>11</v>
      </c>
      <c r="D412">
        <v>37656.25</v>
      </c>
      <c r="E412" t="s">
        <v>351</v>
      </c>
    </row>
    <row r="413" spans="1:5" x14ac:dyDescent="0.3">
      <c r="A413">
        <v>1411</v>
      </c>
      <c r="B413" t="s">
        <v>6</v>
      </c>
      <c r="C413" t="s">
        <v>12</v>
      </c>
      <c r="D413">
        <v>20674.29</v>
      </c>
      <c r="E413" t="s">
        <v>352</v>
      </c>
    </row>
    <row r="414" spans="1:5" x14ac:dyDescent="0.3">
      <c r="A414">
        <v>1412</v>
      </c>
      <c r="B414" t="s">
        <v>8</v>
      </c>
      <c r="C414" t="s">
        <v>13</v>
      </c>
      <c r="D414">
        <v>38304.65</v>
      </c>
      <c r="E414" t="s">
        <v>353</v>
      </c>
    </row>
    <row r="415" spans="1:5" x14ac:dyDescent="0.3">
      <c r="A415">
        <v>1413</v>
      </c>
      <c r="B415" t="s">
        <v>9</v>
      </c>
      <c r="C415" t="s">
        <v>13</v>
      </c>
      <c r="D415">
        <v>54969.14</v>
      </c>
      <c r="E415" t="s">
        <v>318</v>
      </c>
    </row>
    <row r="416" spans="1:5" x14ac:dyDescent="0.3">
      <c r="A416">
        <v>1414</v>
      </c>
      <c r="B416" t="s">
        <v>5</v>
      </c>
      <c r="C416" t="s">
        <v>10</v>
      </c>
      <c r="D416">
        <v>12199.1</v>
      </c>
      <c r="E416" t="s">
        <v>354</v>
      </c>
    </row>
    <row r="417" spans="1:5" x14ac:dyDescent="0.3">
      <c r="A417">
        <v>1415</v>
      </c>
      <c r="B417" t="s">
        <v>7</v>
      </c>
      <c r="C417" t="s">
        <v>10</v>
      </c>
      <c r="D417">
        <v>33426.769999999997</v>
      </c>
      <c r="E417" t="s">
        <v>355</v>
      </c>
    </row>
    <row r="418" spans="1:5" x14ac:dyDescent="0.3">
      <c r="A418">
        <v>1416</v>
      </c>
      <c r="B418" t="s">
        <v>7</v>
      </c>
      <c r="C418" t="s">
        <v>13</v>
      </c>
      <c r="D418">
        <v>6431.95</v>
      </c>
      <c r="E418" t="s">
        <v>356</v>
      </c>
    </row>
    <row r="419" spans="1:5" x14ac:dyDescent="0.3">
      <c r="A419">
        <v>1417</v>
      </c>
      <c r="B419" t="s">
        <v>7</v>
      </c>
      <c r="C419" t="s">
        <v>10</v>
      </c>
      <c r="D419">
        <v>34255.94</v>
      </c>
      <c r="E419" t="s">
        <v>357</v>
      </c>
    </row>
    <row r="420" spans="1:5" x14ac:dyDescent="0.3">
      <c r="A420">
        <v>1418</v>
      </c>
      <c r="B420" t="s">
        <v>7</v>
      </c>
      <c r="C420" t="s">
        <v>11</v>
      </c>
      <c r="D420">
        <v>56857.29</v>
      </c>
      <c r="E420" t="s">
        <v>358</v>
      </c>
    </row>
    <row r="421" spans="1:5" x14ac:dyDescent="0.3">
      <c r="A421">
        <v>1419</v>
      </c>
      <c r="B421" t="s">
        <v>6</v>
      </c>
      <c r="D421">
        <v>37887.08</v>
      </c>
      <c r="E421" t="s">
        <v>262</v>
      </c>
    </row>
    <row r="422" spans="1:5" x14ac:dyDescent="0.3">
      <c r="A422">
        <v>1420</v>
      </c>
      <c r="B422" t="s">
        <v>9</v>
      </c>
      <c r="C422" t="s">
        <v>10</v>
      </c>
      <c r="D422">
        <v>56439.44</v>
      </c>
      <c r="E422" t="s">
        <v>359</v>
      </c>
    </row>
    <row r="423" spans="1:5" x14ac:dyDescent="0.3">
      <c r="A423">
        <v>1421</v>
      </c>
      <c r="B423" t="s">
        <v>8</v>
      </c>
      <c r="C423" t="s">
        <v>12</v>
      </c>
      <c r="D423">
        <v>1490.88</v>
      </c>
      <c r="E423" t="s">
        <v>360</v>
      </c>
    </row>
    <row r="424" spans="1:5" x14ac:dyDescent="0.3">
      <c r="A424">
        <v>1422</v>
      </c>
      <c r="B424" t="s">
        <v>7</v>
      </c>
      <c r="C424" t="s">
        <v>12</v>
      </c>
      <c r="D424">
        <v>31250.86</v>
      </c>
      <c r="E424" t="s">
        <v>361</v>
      </c>
    </row>
    <row r="425" spans="1:5" x14ac:dyDescent="0.3">
      <c r="A425">
        <v>1423</v>
      </c>
      <c r="B425" t="s">
        <v>7</v>
      </c>
      <c r="C425" t="s">
        <v>11</v>
      </c>
      <c r="D425">
        <v>39585.65</v>
      </c>
      <c r="E425" t="s">
        <v>345</v>
      </c>
    </row>
    <row r="426" spans="1:5" x14ac:dyDescent="0.3">
      <c r="A426">
        <v>1836</v>
      </c>
      <c r="B426" t="s">
        <v>5</v>
      </c>
      <c r="C426" t="s">
        <v>10</v>
      </c>
      <c r="D426">
        <v>15606.03</v>
      </c>
      <c r="E426" t="s">
        <v>362</v>
      </c>
    </row>
    <row r="427" spans="1:5" x14ac:dyDescent="0.3">
      <c r="A427">
        <v>1425</v>
      </c>
      <c r="B427" t="s">
        <v>9</v>
      </c>
      <c r="C427" t="s">
        <v>11</v>
      </c>
      <c r="D427">
        <v>20649.060000000001</v>
      </c>
      <c r="E427" t="s">
        <v>314</v>
      </c>
    </row>
    <row r="428" spans="1:5" x14ac:dyDescent="0.3">
      <c r="A428">
        <v>1426</v>
      </c>
      <c r="B428" t="s">
        <v>5</v>
      </c>
      <c r="C428" t="s">
        <v>13</v>
      </c>
      <c r="D428">
        <v>44830.01</v>
      </c>
      <c r="E428" t="s">
        <v>363</v>
      </c>
    </row>
    <row r="429" spans="1:5" x14ac:dyDescent="0.3">
      <c r="A429">
        <v>1427</v>
      </c>
      <c r="B429" t="s">
        <v>8</v>
      </c>
      <c r="C429" t="s">
        <v>11</v>
      </c>
      <c r="D429">
        <v>16862.36</v>
      </c>
      <c r="E429" t="s">
        <v>68</v>
      </c>
    </row>
    <row r="430" spans="1:5" x14ac:dyDescent="0.3">
      <c r="A430">
        <v>1428</v>
      </c>
      <c r="B430" t="s">
        <v>9</v>
      </c>
      <c r="C430" t="s">
        <v>13</v>
      </c>
      <c r="D430">
        <v>38639.300000000003</v>
      </c>
      <c r="E430" t="s">
        <v>364</v>
      </c>
    </row>
    <row r="431" spans="1:5" x14ac:dyDescent="0.3">
      <c r="A431">
        <v>1429</v>
      </c>
      <c r="B431" t="s">
        <v>8</v>
      </c>
      <c r="C431" t="s">
        <v>13</v>
      </c>
      <c r="D431">
        <v>18250.599999999999</v>
      </c>
      <c r="E431" t="s">
        <v>365</v>
      </c>
    </row>
    <row r="432" spans="1:5" x14ac:dyDescent="0.3">
      <c r="A432">
        <v>1430</v>
      </c>
      <c r="B432" t="s">
        <v>9</v>
      </c>
      <c r="C432" t="s">
        <v>13</v>
      </c>
      <c r="E432" t="s">
        <v>267</v>
      </c>
    </row>
    <row r="433" spans="1:5" x14ac:dyDescent="0.3">
      <c r="A433">
        <v>1431</v>
      </c>
      <c r="C433" t="s">
        <v>12</v>
      </c>
      <c r="D433">
        <v>7600.96</v>
      </c>
      <c r="E433" t="s">
        <v>366</v>
      </c>
    </row>
    <row r="434" spans="1:5" x14ac:dyDescent="0.3">
      <c r="A434">
        <v>1432</v>
      </c>
      <c r="B434" t="s">
        <v>6</v>
      </c>
      <c r="C434" t="s">
        <v>10</v>
      </c>
      <c r="D434">
        <v>48544.83</v>
      </c>
      <c r="E434" t="s">
        <v>227</v>
      </c>
    </row>
    <row r="435" spans="1:5" x14ac:dyDescent="0.3">
      <c r="A435">
        <v>1433</v>
      </c>
      <c r="B435" t="s">
        <v>9</v>
      </c>
      <c r="C435" t="s">
        <v>13</v>
      </c>
      <c r="D435">
        <v>49884.78</v>
      </c>
      <c r="E435" t="s">
        <v>196</v>
      </c>
    </row>
    <row r="436" spans="1:5" x14ac:dyDescent="0.3">
      <c r="A436">
        <v>1434</v>
      </c>
      <c r="B436" t="s">
        <v>7</v>
      </c>
      <c r="C436" t="s">
        <v>12</v>
      </c>
      <c r="D436">
        <v>17018.43</v>
      </c>
      <c r="E436" t="s">
        <v>367</v>
      </c>
    </row>
    <row r="437" spans="1:5" x14ac:dyDescent="0.3">
      <c r="A437">
        <v>1435</v>
      </c>
      <c r="B437" t="s">
        <v>7</v>
      </c>
      <c r="C437" t="s">
        <v>11</v>
      </c>
      <c r="D437">
        <v>51670.19</v>
      </c>
      <c r="E437" t="s">
        <v>368</v>
      </c>
    </row>
    <row r="438" spans="1:5" x14ac:dyDescent="0.3">
      <c r="A438">
        <v>1436</v>
      </c>
      <c r="B438" t="s">
        <v>9</v>
      </c>
      <c r="C438" t="s">
        <v>11</v>
      </c>
      <c r="D438">
        <v>40745.08</v>
      </c>
      <c r="E438" t="s">
        <v>218</v>
      </c>
    </row>
    <row r="439" spans="1:5" x14ac:dyDescent="0.3">
      <c r="A439">
        <v>1437</v>
      </c>
      <c r="B439" t="s">
        <v>6</v>
      </c>
      <c r="C439" t="s">
        <v>13</v>
      </c>
      <c r="D439">
        <v>32381.46</v>
      </c>
      <c r="E439" t="s">
        <v>356</v>
      </c>
    </row>
    <row r="440" spans="1:5" x14ac:dyDescent="0.3">
      <c r="A440">
        <v>1438</v>
      </c>
      <c r="C440" t="s">
        <v>12</v>
      </c>
      <c r="D440">
        <v>15250.67</v>
      </c>
      <c r="E440" t="s">
        <v>369</v>
      </c>
    </row>
    <row r="441" spans="1:5" x14ac:dyDescent="0.3">
      <c r="A441">
        <v>1439</v>
      </c>
      <c r="B441" t="s">
        <v>6</v>
      </c>
      <c r="C441" t="s">
        <v>10</v>
      </c>
      <c r="D441">
        <v>15380.04</v>
      </c>
      <c r="E441" t="s">
        <v>370</v>
      </c>
    </row>
    <row r="442" spans="1:5" x14ac:dyDescent="0.3">
      <c r="A442">
        <v>1440</v>
      </c>
      <c r="B442" t="s">
        <v>7</v>
      </c>
      <c r="C442" t="s">
        <v>12</v>
      </c>
      <c r="D442">
        <v>25530.73</v>
      </c>
      <c r="E442" t="s">
        <v>371</v>
      </c>
    </row>
    <row r="443" spans="1:5" x14ac:dyDescent="0.3">
      <c r="A443">
        <v>1441</v>
      </c>
      <c r="B443" t="s">
        <v>9</v>
      </c>
      <c r="C443" t="s">
        <v>11</v>
      </c>
      <c r="D443">
        <v>34949.15</v>
      </c>
      <c r="E443" t="s">
        <v>372</v>
      </c>
    </row>
    <row r="444" spans="1:5" x14ac:dyDescent="0.3">
      <c r="A444">
        <v>1442</v>
      </c>
      <c r="B444" t="s">
        <v>7</v>
      </c>
      <c r="C444" t="s">
        <v>12</v>
      </c>
      <c r="D444">
        <v>41832.35</v>
      </c>
      <c r="E444" t="s">
        <v>373</v>
      </c>
    </row>
    <row r="445" spans="1:5" x14ac:dyDescent="0.3">
      <c r="A445">
        <v>1443</v>
      </c>
      <c r="B445" t="s">
        <v>8</v>
      </c>
      <c r="C445" t="s">
        <v>12</v>
      </c>
      <c r="D445">
        <v>46812.87</v>
      </c>
      <c r="E445" t="s">
        <v>374</v>
      </c>
    </row>
    <row r="446" spans="1:5" x14ac:dyDescent="0.3">
      <c r="A446">
        <v>1444</v>
      </c>
      <c r="B446" t="s">
        <v>8</v>
      </c>
      <c r="C446" t="s">
        <v>10</v>
      </c>
      <c r="D446">
        <v>15943.07</v>
      </c>
      <c r="E446" t="s">
        <v>375</v>
      </c>
    </row>
    <row r="447" spans="1:5" x14ac:dyDescent="0.3">
      <c r="A447">
        <v>1445</v>
      </c>
      <c r="B447" t="s">
        <v>7</v>
      </c>
      <c r="C447" t="s">
        <v>13</v>
      </c>
      <c r="D447">
        <v>8515.7999999999993</v>
      </c>
      <c r="E447" t="s">
        <v>376</v>
      </c>
    </row>
    <row r="448" spans="1:5" x14ac:dyDescent="0.3">
      <c r="A448">
        <v>1446</v>
      </c>
      <c r="B448" t="s">
        <v>8</v>
      </c>
      <c r="C448" t="s">
        <v>10</v>
      </c>
      <c r="D448">
        <v>5466.28</v>
      </c>
      <c r="E448" t="s">
        <v>377</v>
      </c>
    </row>
    <row r="449" spans="1:5" x14ac:dyDescent="0.3">
      <c r="A449">
        <v>1447</v>
      </c>
      <c r="B449" t="s">
        <v>7</v>
      </c>
      <c r="D449">
        <v>11721.67</v>
      </c>
      <c r="E449" t="s">
        <v>378</v>
      </c>
    </row>
    <row r="450" spans="1:5" x14ac:dyDescent="0.3">
      <c r="A450">
        <v>1448</v>
      </c>
      <c r="B450" t="s">
        <v>6</v>
      </c>
      <c r="C450" t="s">
        <v>10</v>
      </c>
      <c r="D450">
        <v>26574.86</v>
      </c>
      <c r="E450" t="s">
        <v>379</v>
      </c>
    </row>
    <row r="451" spans="1:5" x14ac:dyDescent="0.3">
      <c r="A451">
        <v>1449</v>
      </c>
      <c r="B451" t="s">
        <v>8</v>
      </c>
      <c r="C451" t="s">
        <v>12</v>
      </c>
      <c r="D451">
        <v>22804.880000000001</v>
      </c>
      <c r="E451" t="s">
        <v>380</v>
      </c>
    </row>
    <row r="452" spans="1:5" x14ac:dyDescent="0.3">
      <c r="A452">
        <v>1450</v>
      </c>
      <c r="C452" t="s">
        <v>12</v>
      </c>
      <c r="D452">
        <v>29555.37</v>
      </c>
      <c r="E452" t="s">
        <v>381</v>
      </c>
    </row>
    <row r="453" spans="1:5" x14ac:dyDescent="0.3">
      <c r="A453">
        <v>1451</v>
      </c>
      <c r="C453" t="s">
        <v>11</v>
      </c>
      <c r="D453">
        <v>33333.910000000003</v>
      </c>
      <c r="E453" t="s">
        <v>382</v>
      </c>
    </row>
    <row r="454" spans="1:5" x14ac:dyDescent="0.3">
      <c r="A454">
        <v>1452</v>
      </c>
      <c r="B454" t="s">
        <v>7</v>
      </c>
      <c r="C454" t="s">
        <v>10</v>
      </c>
      <c r="D454">
        <v>11022.98</v>
      </c>
      <c r="E454" t="s">
        <v>263</v>
      </c>
    </row>
    <row r="455" spans="1:5" x14ac:dyDescent="0.3">
      <c r="A455">
        <v>1453</v>
      </c>
      <c r="B455" t="s">
        <v>9</v>
      </c>
      <c r="C455" t="s">
        <v>10</v>
      </c>
      <c r="D455">
        <v>46683.86</v>
      </c>
      <c r="E455" t="s">
        <v>383</v>
      </c>
    </row>
    <row r="456" spans="1:5" x14ac:dyDescent="0.3">
      <c r="A456">
        <v>1454</v>
      </c>
      <c r="B456" t="s">
        <v>7</v>
      </c>
      <c r="C456" t="s">
        <v>12</v>
      </c>
      <c r="D456">
        <v>19515.78</v>
      </c>
      <c r="E456" t="s">
        <v>151</v>
      </c>
    </row>
    <row r="457" spans="1:5" x14ac:dyDescent="0.3">
      <c r="A457">
        <v>1455</v>
      </c>
      <c r="B457" t="s">
        <v>5</v>
      </c>
      <c r="C457" t="s">
        <v>11</v>
      </c>
      <c r="D457">
        <v>35495.42</v>
      </c>
      <c r="E457" t="s">
        <v>384</v>
      </c>
    </row>
    <row r="458" spans="1:5" x14ac:dyDescent="0.3">
      <c r="A458">
        <v>1456</v>
      </c>
      <c r="B458" t="s">
        <v>5</v>
      </c>
      <c r="C458" t="s">
        <v>10</v>
      </c>
      <c r="D458">
        <v>16579.66</v>
      </c>
      <c r="E458" t="s">
        <v>385</v>
      </c>
    </row>
    <row r="459" spans="1:5" x14ac:dyDescent="0.3">
      <c r="A459">
        <v>1457</v>
      </c>
      <c r="B459" t="s">
        <v>9</v>
      </c>
      <c r="C459" t="s">
        <v>12</v>
      </c>
      <c r="D459">
        <v>39627.839999999997</v>
      </c>
      <c r="E459" t="s">
        <v>233</v>
      </c>
    </row>
    <row r="460" spans="1:5" x14ac:dyDescent="0.3">
      <c r="A460">
        <v>1458</v>
      </c>
      <c r="B460" t="s">
        <v>5</v>
      </c>
      <c r="C460" t="s">
        <v>11</v>
      </c>
      <c r="D460">
        <v>47415.79</v>
      </c>
      <c r="E460" t="s">
        <v>386</v>
      </c>
    </row>
    <row r="461" spans="1:5" x14ac:dyDescent="0.3">
      <c r="A461">
        <v>1459</v>
      </c>
      <c r="B461" t="s">
        <v>9</v>
      </c>
      <c r="C461" t="s">
        <v>13</v>
      </c>
      <c r="D461">
        <v>53419.38</v>
      </c>
      <c r="E461" t="s">
        <v>387</v>
      </c>
    </row>
    <row r="462" spans="1:5" x14ac:dyDescent="0.3">
      <c r="A462">
        <v>1460</v>
      </c>
      <c r="B462" t="s">
        <v>7</v>
      </c>
      <c r="C462" t="s">
        <v>11</v>
      </c>
      <c r="D462">
        <v>20192.150000000001</v>
      </c>
      <c r="E462" t="s">
        <v>388</v>
      </c>
    </row>
    <row r="463" spans="1:5" x14ac:dyDescent="0.3">
      <c r="A463">
        <v>1461</v>
      </c>
      <c r="B463" t="s">
        <v>7</v>
      </c>
      <c r="C463" t="s">
        <v>13</v>
      </c>
      <c r="D463">
        <v>49772.47</v>
      </c>
      <c r="E463" t="s">
        <v>389</v>
      </c>
    </row>
    <row r="464" spans="1:5" x14ac:dyDescent="0.3">
      <c r="A464">
        <v>1462</v>
      </c>
      <c r="B464" t="s">
        <v>5</v>
      </c>
      <c r="C464" t="s">
        <v>10</v>
      </c>
      <c r="D464">
        <v>3380.7</v>
      </c>
      <c r="E464" t="s">
        <v>390</v>
      </c>
    </row>
    <row r="465" spans="1:5" x14ac:dyDescent="0.3">
      <c r="A465">
        <v>1463</v>
      </c>
      <c r="B465" t="s">
        <v>9</v>
      </c>
      <c r="C465" t="s">
        <v>11</v>
      </c>
      <c r="E465" t="s">
        <v>391</v>
      </c>
    </row>
    <row r="466" spans="1:5" x14ac:dyDescent="0.3">
      <c r="A466">
        <v>1342</v>
      </c>
      <c r="B466" t="s">
        <v>7</v>
      </c>
      <c r="C466" t="s">
        <v>12</v>
      </c>
      <c r="D466">
        <v>8826.0300000000007</v>
      </c>
      <c r="E466" t="s">
        <v>129</v>
      </c>
    </row>
    <row r="467" spans="1:5" x14ac:dyDescent="0.3">
      <c r="A467">
        <v>1465</v>
      </c>
      <c r="B467" t="s">
        <v>5</v>
      </c>
      <c r="C467" t="s">
        <v>10</v>
      </c>
      <c r="D467">
        <v>59450.07</v>
      </c>
      <c r="E467" t="s">
        <v>392</v>
      </c>
    </row>
    <row r="468" spans="1:5" x14ac:dyDescent="0.3">
      <c r="A468">
        <v>1466</v>
      </c>
      <c r="B468" t="s">
        <v>6</v>
      </c>
      <c r="C468" t="s">
        <v>12</v>
      </c>
      <c r="D468">
        <v>55819.23</v>
      </c>
      <c r="E468" t="s">
        <v>393</v>
      </c>
    </row>
    <row r="469" spans="1:5" x14ac:dyDescent="0.3">
      <c r="A469">
        <v>1467</v>
      </c>
      <c r="B469" t="s">
        <v>9</v>
      </c>
      <c r="C469" t="s">
        <v>12</v>
      </c>
      <c r="D469">
        <v>28208.85</v>
      </c>
      <c r="E469" t="s">
        <v>385</v>
      </c>
    </row>
    <row r="470" spans="1:5" x14ac:dyDescent="0.3">
      <c r="A470">
        <v>1468</v>
      </c>
      <c r="B470" t="s">
        <v>8</v>
      </c>
      <c r="C470" t="s">
        <v>10</v>
      </c>
      <c r="D470">
        <v>56559.83</v>
      </c>
      <c r="E470" t="s">
        <v>394</v>
      </c>
    </row>
    <row r="471" spans="1:5" x14ac:dyDescent="0.3">
      <c r="A471">
        <v>1469</v>
      </c>
      <c r="B471" t="s">
        <v>5</v>
      </c>
      <c r="C471" t="s">
        <v>12</v>
      </c>
      <c r="D471">
        <v>45119.87</v>
      </c>
      <c r="E471" t="s">
        <v>395</v>
      </c>
    </row>
    <row r="472" spans="1:5" x14ac:dyDescent="0.3">
      <c r="A472">
        <v>1470</v>
      </c>
      <c r="B472" t="s">
        <v>7</v>
      </c>
      <c r="C472" t="s">
        <v>10</v>
      </c>
      <c r="D472">
        <v>11013.98</v>
      </c>
      <c r="E472" t="s">
        <v>396</v>
      </c>
    </row>
    <row r="473" spans="1:5" x14ac:dyDescent="0.3">
      <c r="A473">
        <v>1471</v>
      </c>
      <c r="B473" t="s">
        <v>6</v>
      </c>
      <c r="C473" t="s">
        <v>10</v>
      </c>
      <c r="D473">
        <v>54702.57</v>
      </c>
      <c r="E473" t="s">
        <v>185</v>
      </c>
    </row>
    <row r="474" spans="1:5" x14ac:dyDescent="0.3">
      <c r="A474">
        <v>1472</v>
      </c>
      <c r="B474" t="s">
        <v>5</v>
      </c>
      <c r="C474" t="s">
        <v>13</v>
      </c>
      <c r="D474">
        <v>35408.26</v>
      </c>
      <c r="E474" t="s">
        <v>72</v>
      </c>
    </row>
    <row r="475" spans="1:5" x14ac:dyDescent="0.3">
      <c r="A475">
        <v>1473</v>
      </c>
      <c r="B475" t="s">
        <v>8</v>
      </c>
      <c r="C475" t="s">
        <v>11</v>
      </c>
      <c r="D475">
        <v>52977.41</v>
      </c>
      <c r="E475" t="s">
        <v>211</v>
      </c>
    </row>
    <row r="476" spans="1:5" x14ac:dyDescent="0.3">
      <c r="A476">
        <v>1474</v>
      </c>
      <c r="B476" t="s">
        <v>6</v>
      </c>
      <c r="C476" t="s">
        <v>13</v>
      </c>
      <c r="D476">
        <v>48204.33</v>
      </c>
      <c r="E476" t="s">
        <v>397</v>
      </c>
    </row>
    <row r="477" spans="1:5" x14ac:dyDescent="0.3">
      <c r="A477">
        <v>1475</v>
      </c>
      <c r="B477" t="s">
        <v>8</v>
      </c>
      <c r="C477" t="s">
        <v>12</v>
      </c>
      <c r="D477">
        <v>28435.56</v>
      </c>
      <c r="E477" t="s">
        <v>398</v>
      </c>
    </row>
    <row r="478" spans="1:5" x14ac:dyDescent="0.3">
      <c r="A478">
        <v>1476</v>
      </c>
      <c r="B478" t="s">
        <v>8</v>
      </c>
      <c r="C478" t="s">
        <v>12</v>
      </c>
      <c r="D478">
        <v>53621.69</v>
      </c>
      <c r="E478" t="s">
        <v>399</v>
      </c>
    </row>
    <row r="479" spans="1:5" x14ac:dyDescent="0.3">
      <c r="A479">
        <v>1477</v>
      </c>
      <c r="B479" t="s">
        <v>5</v>
      </c>
      <c r="C479" t="s">
        <v>13</v>
      </c>
      <c r="D479">
        <v>5414.45</v>
      </c>
      <c r="E479" t="s">
        <v>20</v>
      </c>
    </row>
    <row r="480" spans="1:5" x14ac:dyDescent="0.3">
      <c r="A480">
        <v>1478</v>
      </c>
      <c r="B480" t="s">
        <v>7</v>
      </c>
      <c r="C480" t="s">
        <v>13</v>
      </c>
      <c r="D480">
        <v>17423.740000000002</v>
      </c>
      <c r="E480" t="s">
        <v>400</v>
      </c>
    </row>
    <row r="481" spans="1:5" x14ac:dyDescent="0.3">
      <c r="A481">
        <v>1479</v>
      </c>
      <c r="B481" t="s">
        <v>7</v>
      </c>
      <c r="D481">
        <v>22570.15</v>
      </c>
      <c r="E481" t="s">
        <v>401</v>
      </c>
    </row>
    <row r="482" spans="1:5" x14ac:dyDescent="0.3">
      <c r="A482">
        <v>1480</v>
      </c>
      <c r="B482" t="s">
        <v>8</v>
      </c>
      <c r="C482" t="s">
        <v>13</v>
      </c>
      <c r="D482">
        <v>59217.02</v>
      </c>
      <c r="E482" t="s">
        <v>326</v>
      </c>
    </row>
    <row r="483" spans="1:5" x14ac:dyDescent="0.3">
      <c r="A483">
        <v>1481</v>
      </c>
      <c r="B483" t="s">
        <v>7</v>
      </c>
      <c r="C483" t="s">
        <v>11</v>
      </c>
      <c r="D483">
        <v>30825.02</v>
      </c>
      <c r="E483" t="s">
        <v>402</v>
      </c>
    </row>
    <row r="484" spans="1:5" x14ac:dyDescent="0.3">
      <c r="A484">
        <v>1482</v>
      </c>
      <c r="B484" t="s">
        <v>5</v>
      </c>
      <c r="C484" t="s">
        <v>13</v>
      </c>
      <c r="D484">
        <v>24346.77</v>
      </c>
      <c r="E484" t="s">
        <v>210</v>
      </c>
    </row>
    <row r="485" spans="1:5" x14ac:dyDescent="0.3">
      <c r="A485">
        <v>1483</v>
      </c>
      <c r="B485" t="s">
        <v>8</v>
      </c>
      <c r="C485" t="s">
        <v>12</v>
      </c>
      <c r="D485">
        <v>59514.6</v>
      </c>
      <c r="E485" t="s">
        <v>19</v>
      </c>
    </row>
    <row r="486" spans="1:5" x14ac:dyDescent="0.3">
      <c r="A486">
        <v>1484</v>
      </c>
      <c r="B486" t="s">
        <v>6</v>
      </c>
      <c r="C486" t="s">
        <v>12</v>
      </c>
      <c r="D486">
        <v>12514.82</v>
      </c>
      <c r="E486" t="s">
        <v>403</v>
      </c>
    </row>
    <row r="487" spans="1:5" x14ac:dyDescent="0.3">
      <c r="A487">
        <v>1485</v>
      </c>
      <c r="B487" t="s">
        <v>7</v>
      </c>
      <c r="C487" t="s">
        <v>11</v>
      </c>
      <c r="D487">
        <v>48183.360000000001</v>
      </c>
      <c r="E487" t="s">
        <v>238</v>
      </c>
    </row>
    <row r="488" spans="1:5" x14ac:dyDescent="0.3">
      <c r="A488">
        <v>1486</v>
      </c>
      <c r="B488" t="s">
        <v>9</v>
      </c>
      <c r="C488" t="s">
        <v>12</v>
      </c>
      <c r="D488">
        <v>34495.910000000003</v>
      </c>
      <c r="E488" t="s">
        <v>307</v>
      </c>
    </row>
    <row r="489" spans="1:5" x14ac:dyDescent="0.3">
      <c r="A489">
        <v>1487</v>
      </c>
      <c r="B489" t="s">
        <v>7</v>
      </c>
      <c r="C489" t="s">
        <v>13</v>
      </c>
      <c r="D489">
        <v>9332.19</v>
      </c>
      <c r="E489" t="s">
        <v>54</v>
      </c>
    </row>
    <row r="490" spans="1:5" x14ac:dyDescent="0.3">
      <c r="A490">
        <v>1488</v>
      </c>
      <c r="B490" t="s">
        <v>7</v>
      </c>
      <c r="C490" t="s">
        <v>10</v>
      </c>
      <c r="D490">
        <v>17856.75</v>
      </c>
      <c r="E490" t="s">
        <v>118</v>
      </c>
    </row>
    <row r="491" spans="1:5" x14ac:dyDescent="0.3">
      <c r="A491">
        <v>1489</v>
      </c>
      <c r="B491" t="s">
        <v>6</v>
      </c>
      <c r="C491" t="s">
        <v>13</v>
      </c>
      <c r="D491">
        <v>20911.34</v>
      </c>
      <c r="E491" t="s">
        <v>404</v>
      </c>
    </row>
    <row r="492" spans="1:5" x14ac:dyDescent="0.3">
      <c r="A492">
        <v>1490</v>
      </c>
      <c r="B492" t="s">
        <v>7</v>
      </c>
      <c r="C492" t="s">
        <v>11</v>
      </c>
      <c r="D492">
        <v>52570.23</v>
      </c>
      <c r="E492" t="s">
        <v>405</v>
      </c>
    </row>
    <row r="493" spans="1:5" x14ac:dyDescent="0.3">
      <c r="A493">
        <v>1491</v>
      </c>
      <c r="B493" t="s">
        <v>9</v>
      </c>
      <c r="C493" t="s">
        <v>10</v>
      </c>
      <c r="D493">
        <v>33705.910000000003</v>
      </c>
      <c r="E493" t="s">
        <v>406</v>
      </c>
    </row>
    <row r="494" spans="1:5" x14ac:dyDescent="0.3">
      <c r="A494">
        <v>1492</v>
      </c>
      <c r="B494" t="s">
        <v>9</v>
      </c>
      <c r="C494" t="s">
        <v>10</v>
      </c>
      <c r="D494">
        <v>55546.83</v>
      </c>
      <c r="E494" t="s">
        <v>407</v>
      </c>
    </row>
    <row r="495" spans="1:5" x14ac:dyDescent="0.3">
      <c r="A495">
        <v>1493</v>
      </c>
      <c r="B495" t="s">
        <v>5</v>
      </c>
      <c r="C495" t="s">
        <v>13</v>
      </c>
      <c r="D495">
        <v>26369.13</v>
      </c>
      <c r="E495" t="s">
        <v>212</v>
      </c>
    </row>
    <row r="496" spans="1:5" x14ac:dyDescent="0.3">
      <c r="A496">
        <v>1494</v>
      </c>
      <c r="B496" t="s">
        <v>6</v>
      </c>
      <c r="C496" t="s">
        <v>11</v>
      </c>
      <c r="E496" t="s">
        <v>408</v>
      </c>
    </row>
    <row r="497" spans="1:5" x14ac:dyDescent="0.3">
      <c r="A497">
        <v>1495</v>
      </c>
      <c r="B497" t="s">
        <v>5</v>
      </c>
      <c r="C497" t="s">
        <v>10</v>
      </c>
      <c r="D497">
        <v>46639.61</v>
      </c>
      <c r="E497" t="s">
        <v>409</v>
      </c>
    </row>
    <row r="498" spans="1:5" x14ac:dyDescent="0.3">
      <c r="A498">
        <v>1496</v>
      </c>
      <c r="B498" t="s">
        <v>6</v>
      </c>
      <c r="C498" t="s">
        <v>11</v>
      </c>
      <c r="D498">
        <v>10480.1</v>
      </c>
      <c r="E498" t="s">
        <v>226</v>
      </c>
    </row>
    <row r="499" spans="1:5" x14ac:dyDescent="0.3">
      <c r="A499">
        <v>1497</v>
      </c>
      <c r="B499" t="s">
        <v>7</v>
      </c>
      <c r="C499" t="s">
        <v>10</v>
      </c>
      <c r="D499">
        <v>12159.21</v>
      </c>
      <c r="E499" t="s">
        <v>293</v>
      </c>
    </row>
    <row r="500" spans="1:5" x14ac:dyDescent="0.3">
      <c r="A500">
        <v>1498</v>
      </c>
      <c r="B500" t="s">
        <v>5</v>
      </c>
      <c r="C500" t="s">
        <v>11</v>
      </c>
      <c r="D500">
        <v>8403.69</v>
      </c>
      <c r="E500" t="s">
        <v>406</v>
      </c>
    </row>
    <row r="501" spans="1:5" x14ac:dyDescent="0.3">
      <c r="A501">
        <v>1499</v>
      </c>
      <c r="B501" t="s">
        <v>6</v>
      </c>
      <c r="C501" t="s">
        <v>12</v>
      </c>
      <c r="D501">
        <v>22587.26</v>
      </c>
      <c r="E501" t="s">
        <v>328</v>
      </c>
    </row>
    <row r="502" spans="1:5" x14ac:dyDescent="0.3">
      <c r="A502">
        <v>1500</v>
      </c>
      <c r="B502" t="s">
        <v>6</v>
      </c>
      <c r="C502" t="s">
        <v>11</v>
      </c>
      <c r="D502">
        <v>21359.94</v>
      </c>
      <c r="E502" t="s">
        <v>172</v>
      </c>
    </row>
    <row r="503" spans="1:5" x14ac:dyDescent="0.3">
      <c r="A503">
        <v>1501</v>
      </c>
      <c r="B503" t="s">
        <v>5</v>
      </c>
      <c r="C503" t="s">
        <v>12</v>
      </c>
      <c r="D503">
        <v>12346.28</v>
      </c>
      <c r="E503" t="s">
        <v>410</v>
      </c>
    </row>
    <row r="504" spans="1:5" x14ac:dyDescent="0.3">
      <c r="A504">
        <v>1502</v>
      </c>
      <c r="B504" t="s">
        <v>8</v>
      </c>
      <c r="C504" t="s">
        <v>13</v>
      </c>
      <c r="D504">
        <v>57838.26</v>
      </c>
      <c r="E504" t="s">
        <v>411</v>
      </c>
    </row>
    <row r="505" spans="1:5" x14ac:dyDescent="0.3">
      <c r="A505">
        <v>1503</v>
      </c>
      <c r="B505" t="s">
        <v>5</v>
      </c>
      <c r="C505" t="s">
        <v>11</v>
      </c>
      <c r="D505">
        <v>9393.06</v>
      </c>
      <c r="E505" t="s">
        <v>116</v>
      </c>
    </row>
    <row r="506" spans="1:5" x14ac:dyDescent="0.3">
      <c r="A506">
        <v>1504</v>
      </c>
      <c r="B506" t="s">
        <v>5</v>
      </c>
      <c r="C506" t="s">
        <v>13</v>
      </c>
      <c r="D506">
        <v>22978.03</v>
      </c>
      <c r="E506" t="s">
        <v>412</v>
      </c>
    </row>
    <row r="507" spans="1:5" x14ac:dyDescent="0.3">
      <c r="A507">
        <v>1505</v>
      </c>
      <c r="B507" t="s">
        <v>9</v>
      </c>
      <c r="C507" t="s">
        <v>12</v>
      </c>
      <c r="D507">
        <v>54880.73</v>
      </c>
      <c r="E507" t="s">
        <v>413</v>
      </c>
    </row>
    <row r="508" spans="1:5" x14ac:dyDescent="0.3">
      <c r="A508">
        <v>1506</v>
      </c>
      <c r="B508" t="s">
        <v>5</v>
      </c>
      <c r="C508" t="s">
        <v>13</v>
      </c>
      <c r="D508">
        <v>35095.58</v>
      </c>
      <c r="E508" t="s">
        <v>150</v>
      </c>
    </row>
    <row r="509" spans="1:5" x14ac:dyDescent="0.3">
      <c r="A509">
        <v>1507</v>
      </c>
      <c r="B509" t="s">
        <v>7</v>
      </c>
      <c r="C509" t="s">
        <v>12</v>
      </c>
      <c r="D509">
        <v>52032.79</v>
      </c>
      <c r="E509" t="s">
        <v>237</v>
      </c>
    </row>
    <row r="510" spans="1:5" x14ac:dyDescent="0.3">
      <c r="A510">
        <v>1508</v>
      </c>
      <c r="B510" t="s">
        <v>9</v>
      </c>
      <c r="C510" t="s">
        <v>12</v>
      </c>
      <c r="D510">
        <v>41772.29</v>
      </c>
      <c r="E510" t="s">
        <v>36</v>
      </c>
    </row>
    <row r="511" spans="1:5" x14ac:dyDescent="0.3">
      <c r="A511">
        <v>1509</v>
      </c>
      <c r="B511" t="s">
        <v>8</v>
      </c>
      <c r="C511" t="s">
        <v>10</v>
      </c>
      <c r="D511">
        <v>11227.24</v>
      </c>
      <c r="E511" t="s">
        <v>287</v>
      </c>
    </row>
    <row r="512" spans="1:5" x14ac:dyDescent="0.3">
      <c r="A512">
        <v>1510</v>
      </c>
      <c r="B512" t="s">
        <v>5</v>
      </c>
      <c r="C512" t="s">
        <v>12</v>
      </c>
      <c r="D512">
        <v>24017.09</v>
      </c>
      <c r="E512" t="s">
        <v>414</v>
      </c>
    </row>
    <row r="513" spans="1:5" x14ac:dyDescent="0.3">
      <c r="A513">
        <v>1511</v>
      </c>
      <c r="B513" t="s">
        <v>7</v>
      </c>
      <c r="C513" t="s">
        <v>12</v>
      </c>
      <c r="D513">
        <v>34429.71</v>
      </c>
      <c r="E513" t="s">
        <v>415</v>
      </c>
    </row>
    <row r="514" spans="1:5" x14ac:dyDescent="0.3">
      <c r="A514">
        <v>1512</v>
      </c>
      <c r="B514" t="s">
        <v>5</v>
      </c>
      <c r="C514" t="s">
        <v>13</v>
      </c>
      <c r="D514">
        <v>47019.31</v>
      </c>
      <c r="E514" t="s">
        <v>337</v>
      </c>
    </row>
    <row r="515" spans="1:5" x14ac:dyDescent="0.3">
      <c r="A515">
        <v>1513</v>
      </c>
      <c r="B515" t="s">
        <v>8</v>
      </c>
      <c r="C515" t="s">
        <v>12</v>
      </c>
      <c r="D515">
        <v>53846.18</v>
      </c>
      <c r="E515" t="s">
        <v>272</v>
      </c>
    </row>
    <row r="516" spans="1:5" x14ac:dyDescent="0.3">
      <c r="A516">
        <v>1514</v>
      </c>
      <c r="B516" t="s">
        <v>9</v>
      </c>
      <c r="C516" t="s">
        <v>11</v>
      </c>
      <c r="D516">
        <v>34510.480000000003</v>
      </c>
      <c r="E516" t="s">
        <v>416</v>
      </c>
    </row>
    <row r="517" spans="1:5" x14ac:dyDescent="0.3">
      <c r="A517">
        <v>1515</v>
      </c>
      <c r="B517" t="s">
        <v>6</v>
      </c>
      <c r="C517" t="s">
        <v>13</v>
      </c>
      <c r="D517">
        <v>4113.1499999999996</v>
      </c>
      <c r="E517" t="s">
        <v>417</v>
      </c>
    </row>
    <row r="518" spans="1:5" x14ac:dyDescent="0.3">
      <c r="A518">
        <v>1516</v>
      </c>
      <c r="B518" t="s">
        <v>8</v>
      </c>
      <c r="C518" t="s">
        <v>11</v>
      </c>
      <c r="D518">
        <v>53966.87</v>
      </c>
      <c r="E518" t="s">
        <v>313</v>
      </c>
    </row>
    <row r="519" spans="1:5" x14ac:dyDescent="0.3">
      <c r="A519">
        <v>1517</v>
      </c>
      <c r="B519" t="s">
        <v>8</v>
      </c>
      <c r="C519" t="s">
        <v>13</v>
      </c>
      <c r="D519">
        <v>13334.5</v>
      </c>
      <c r="E519" t="s">
        <v>418</v>
      </c>
    </row>
    <row r="520" spans="1:5" x14ac:dyDescent="0.3">
      <c r="A520">
        <v>1518</v>
      </c>
      <c r="B520" t="s">
        <v>5</v>
      </c>
      <c r="C520" t="s">
        <v>10</v>
      </c>
      <c r="D520">
        <v>35011.870000000003</v>
      </c>
      <c r="E520" t="s">
        <v>419</v>
      </c>
    </row>
    <row r="521" spans="1:5" x14ac:dyDescent="0.3">
      <c r="A521">
        <v>1519</v>
      </c>
      <c r="C521" t="s">
        <v>12</v>
      </c>
      <c r="D521">
        <v>25824.91</v>
      </c>
      <c r="E521" t="s">
        <v>420</v>
      </c>
    </row>
    <row r="522" spans="1:5" x14ac:dyDescent="0.3">
      <c r="A522">
        <v>1520</v>
      </c>
      <c r="B522" t="s">
        <v>9</v>
      </c>
      <c r="C522" t="s">
        <v>12</v>
      </c>
      <c r="D522">
        <v>55758.01</v>
      </c>
      <c r="E522" t="s">
        <v>421</v>
      </c>
    </row>
    <row r="523" spans="1:5" x14ac:dyDescent="0.3">
      <c r="A523">
        <v>1521</v>
      </c>
      <c r="B523" t="s">
        <v>7</v>
      </c>
      <c r="C523" t="s">
        <v>11</v>
      </c>
      <c r="E523" t="s">
        <v>63</v>
      </c>
    </row>
    <row r="524" spans="1:5" x14ac:dyDescent="0.3">
      <c r="A524">
        <v>1522</v>
      </c>
      <c r="B524" t="s">
        <v>9</v>
      </c>
      <c r="D524">
        <v>26852.43</v>
      </c>
      <c r="E524" t="s">
        <v>422</v>
      </c>
    </row>
    <row r="525" spans="1:5" x14ac:dyDescent="0.3">
      <c r="A525">
        <v>1523</v>
      </c>
      <c r="B525" t="s">
        <v>7</v>
      </c>
      <c r="C525" t="s">
        <v>10</v>
      </c>
      <c r="D525">
        <v>39831.43</v>
      </c>
      <c r="E525" t="s">
        <v>423</v>
      </c>
    </row>
    <row r="526" spans="1:5" x14ac:dyDescent="0.3">
      <c r="A526">
        <v>1524</v>
      </c>
      <c r="C526" t="s">
        <v>12</v>
      </c>
      <c r="D526">
        <v>13985.23</v>
      </c>
      <c r="E526" t="s">
        <v>424</v>
      </c>
    </row>
    <row r="527" spans="1:5" x14ac:dyDescent="0.3">
      <c r="A527">
        <v>1525</v>
      </c>
      <c r="B527" t="s">
        <v>9</v>
      </c>
      <c r="C527" t="s">
        <v>11</v>
      </c>
      <c r="D527">
        <v>14006.31</v>
      </c>
      <c r="E527" t="s">
        <v>18</v>
      </c>
    </row>
    <row r="528" spans="1:5" x14ac:dyDescent="0.3">
      <c r="A528">
        <v>1526</v>
      </c>
      <c r="B528" t="s">
        <v>8</v>
      </c>
      <c r="C528" t="s">
        <v>13</v>
      </c>
      <c r="D528">
        <v>6391.07</v>
      </c>
      <c r="E528" t="s">
        <v>240</v>
      </c>
    </row>
    <row r="529" spans="1:5" x14ac:dyDescent="0.3">
      <c r="A529">
        <v>1527</v>
      </c>
      <c r="B529" t="s">
        <v>9</v>
      </c>
      <c r="C529" t="s">
        <v>10</v>
      </c>
      <c r="D529">
        <v>50142.85</v>
      </c>
      <c r="E529" t="s">
        <v>425</v>
      </c>
    </row>
    <row r="530" spans="1:5" x14ac:dyDescent="0.3">
      <c r="A530">
        <v>1528</v>
      </c>
      <c r="B530" t="s">
        <v>9</v>
      </c>
      <c r="C530" t="s">
        <v>11</v>
      </c>
      <c r="D530">
        <v>15720.68</v>
      </c>
      <c r="E530" t="s">
        <v>426</v>
      </c>
    </row>
    <row r="531" spans="1:5" x14ac:dyDescent="0.3">
      <c r="A531">
        <v>1529</v>
      </c>
      <c r="B531" t="s">
        <v>9</v>
      </c>
      <c r="C531" t="s">
        <v>10</v>
      </c>
      <c r="D531">
        <v>49880.800000000003</v>
      </c>
      <c r="E531" t="s">
        <v>427</v>
      </c>
    </row>
    <row r="532" spans="1:5" x14ac:dyDescent="0.3">
      <c r="A532">
        <v>1530</v>
      </c>
      <c r="B532" t="s">
        <v>7</v>
      </c>
      <c r="C532" t="s">
        <v>13</v>
      </c>
      <c r="D532">
        <v>48520.37</v>
      </c>
      <c r="E532" t="s">
        <v>428</v>
      </c>
    </row>
    <row r="533" spans="1:5" x14ac:dyDescent="0.3">
      <c r="A533">
        <v>1531</v>
      </c>
      <c r="B533" t="s">
        <v>6</v>
      </c>
      <c r="C533" t="s">
        <v>11</v>
      </c>
      <c r="D533">
        <v>59859.75</v>
      </c>
      <c r="E533" t="s">
        <v>109</v>
      </c>
    </row>
    <row r="534" spans="1:5" x14ac:dyDescent="0.3">
      <c r="A534">
        <v>1532</v>
      </c>
      <c r="B534" t="s">
        <v>5</v>
      </c>
      <c r="C534" t="s">
        <v>12</v>
      </c>
      <c r="D534">
        <v>14137.89</v>
      </c>
      <c r="E534" t="s">
        <v>429</v>
      </c>
    </row>
    <row r="535" spans="1:5" x14ac:dyDescent="0.3">
      <c r="A535">
        <v>1533</v>
      </c>
      <c r="B535" t="s">
        <v>8</v>
      </c>
      <c r="C535" t="s">
        <v>11</v>
      </c>
      <c r="D535">
        <v>48035.45</v>
      </c>
      <c r="E535" t="s">
        <v>430</v>
      </c>
    </row>
    <row r="536" spans="1:5" x14ac:dyDescent="0.3">
      <c r="A536">
        <v>1534</v>
      </c>
      <c r="B536" t="s">
        <v>8</v>
      </c>
      <c r="C536" t="s">
        <v>13</v>
      </c>
      <c r="D536">
        <v>14864.66</v>
      </c>
      <c r="E536" t="s">
        <v>431</v>
      </c>
    </row>
    <row r="537" spans="1:5" x14ac:dyDescent="0.3">
      <c r="A537">
        <v>1535</v>
      </c>
      <c r="B537" t="s">
        <v>7</v>
      </c>
      <c r="C537" t="s">
        <v>10</v>
      </c>
      <c r="D537">
        <v>25758.02</v>
      </c>
      <c r="E537" t="s">
        <v>432</v>
      </c>
    </row>
    <row r="538" spans="1:5" x14ac:dyDescent="0.3">
      <c r="A538">
        <v>1536</v>
      </c>
      <c r="C538" t="s">
        <v>10</v>
      </c>
      <c r="D538">
        <v>56858.61</v>
      </c>
      <c r="E538" t="s">
        <v>72</v>
      </c>
    </row>
    <row r="539" spans="1:5" x14ac:dyDescent="0.3">
      <c r="A539">
        <v>1537</v>
      </c>
      <c r="B539" t="s">
        <v>5</v>
      </c>
      <c r="C539" t="s">
        <v>13</v>
      </c>
      <c r="E539" t="s">
        <v>433</v>
      </c>
    </row>
    <row r="540" spans="1:5" x14ac:dyDescent="0.3">
      <c r="A540">
        <v>1538</v>
      </c>
      <c r="B540" t="s">
        <v>8</v>
      </c>
      <c r="C540" t="s">
        <v>13</v>
      </c>
      <c r="D540">
        <v>6498.57</v>
      </c>
      <c r="E540" t="s">
        <v>434</v>
      </c>
    </row>
    <row r="541" spans="1:5" x14ac:dyDescent="0.3">
      <c r="A541">
        <v>1539</v>
      </c>
      <c r="B541" t="s">
        <v>5</v>
      </c>
      <c r="C541" t="s">
        <v>12</v>
      </c>
      <c r="D541">
        <v>6626.29</v>
      </c>
      <c r="E541" t="s">
        <v>184</v>
      </c>
    </row>
    <row r="542" spans="1:5" x14ac:dyDescent="0.3">
      <c r="A542">
        <v>1540</v>
      </c>
      <c r="B542" t="s">
        <v>6</v>
      </c>
      <c r="C542" t="s">
        <v>11</v>
      </c>
      <c r="D542">
        <v>40104.980000000003</v>
      </c>
      <c r="E542" t="s">
        <v>435</v>
      </c>
    </row>
    <row r="543" spans="1:5" x14ac:dyDescent="0.3">
      <c r="A543">
        <v>1541</v>
      </c>
      <c r="B543" t="s">
        <v>8</v>
      </c>
      <c r="C543" t="s">
        <v>12</v>
      </c>
      <c r="D543">
        <v>34747.760000000002</v>
      </c>
      <c r="E543" t="s">
        <v>436</v>
      </c>
    </row>
    <row r="544" spans="1:5" x14ac:dyDescent="0.3">
      <c r="A544">
        <v>1542</v>
      </c>
      <c r="B544" t="s">
        <v>5</v>
      </c>
      <c r="C544" t="s">
        <v>10</v>
      </c>
      <c r="D544">
        <v>25055.23</v>
      </c>
      <c r="E544" t="s">
        <v>296</v>
      </c>
    </row>
    <row r="545" spans="1:5" x14ac:dyDescent="0.3">
      <c r="A545">
        <v>1543</v>
      </c>
      <c r="B545" t="s">
        <v>9</v>
      </c>
      <c r="C545" t="s">
        <v>13</v>
      </c>
      <c r="D545">
        <v>38848.76</v>
      </c>
      <c r="E545" t="s">
        <v>379</v>
      </c>
    </row>
    <row r="546" spans="1:5" x14ac:dyDescent="0.3">
      <c r="A546">
        <v>1544</v>
      </c>
      <c r="B546" t="s">
        <v>5</v>
      </c>
      <c r="C546" t="s">
        <v>11</v>
      </c>
      <c r="D546">
        <v>52631.96</v>
      </c>
      <c r="E546" t="s">
        <v>437</v>
      </c>
    </row>
    <row r="547" spans="1:5" x14ac:dyDescent="0.3">
      <c r="A547">
        <v>1545</v>
      </c>
      <c r="B547" t="s">
        <v>8</v>
      </c>
      <c r="C547" t="s">
        <v>10</v>
      </c>
      <c r="D547">
        <v>22268</v>
      </c>
      <c r="E547" t="s">
        <v>338</v>
      </c>
    </row>
    <row r="548" spans="1:5" x14ac:dyDescent="0.3">
      <c r="A548">
        <v>1546</v>
      </c>
      <c r="B548" t="s">
        <v>9</v>
      </c>
      <c r="C548" t="s">
        <v>11</v>
      </c>
      <c r="D548">
        <v>58659.519999999997</v>
      </c>
      <c r="E548" t="s">
        <v>438</v>
      </c>
    </row>
    <row r="549" spans="1:5" x14ac:dyDescent="0.3">
      <c r="A549">
        <v>1547</v>
      </c>
      <c r="B549" t="s">
        <v>5</v>
      </c>
      <c r="C549" t="s">
        <v>12</v>
      </c>
      <c r="D549">
        <v>25260.240000000002</v>
      </c>
      <c r="E549" t="s">
        <v>439</v>
      </c>
    </row>
    <row r="550" spans="1:5" x14ac:dyDescent="0.3">
      <c r="A550">
        <v>1548</v>
      </c>
      <c r="B550" t="s">
        <v>9</v>
      </c>
      <c r="D550">
        <v>17457.349999999999</v>
      </c>
      <c r="E550" t="s">
        <v>440</v>
      </c>
    </row>
    <row r="551" spans="1:5" x14ac:dyDescent="0.3">
      <c r="A551">
        <v>1549</v>
      </c>
      <c r="C551" t="s">
        <v>11</v>
      </c>
      <c r="D551">
        <v>18349.98</v>
      </c>
      <c r="E551" t="s">
        <v>441</v>
      </c>
    </row>
    <row r="552" spans="1:5" x14ac:dyDescent="0.3">
      <c r="A552">
        <v>1550</v>
      </c>
      <c r="B552" t="s">
        <v>6</v>
      </c>
      <c r="C552" t="s">
        <v>12</v>
      </c>
      <c r="D552">
        <v>40756.49</v>
      </c>
      <c r="E552" t="s">
        <v>442</v>
      </c>
    </row>
    <row r="553" spans="1:5" x14ac:dyDescent="0.3">
      <c r="A553">
        <v>1551</v>
      </c>
      <c r="B553" t="s">
        <v>6</v>
      </c>
      <c r="C553" t="s">
        <v>10</v>
      </c>
      <c r="D553">
        <v>26314.68</v>
      </c>
      <c r="E553" t="s">
        <v>443</v>
      </c>
    </row>
    <row r="554" spans="1:5" x14ac:dyDescent="0.3">
      <c r="A554">
        <v>1354</v>
      </c>
      <c r="B554" t="s">
        <v>7</v>
      </c>
      <c r="C554" t="s">
        <v>12</v>
      </c>
      <c r="D554">
        <v>40007.300000000003</v>
      </c>
      <c r="E554" t="s">
        <v>444</v>
      </c>
    </row>
    <row r="555" spans="1:5" x14ac:dyDescent="0.3">
      <c r="A555">
        <v>1553</v>
      </c>
      <c r="B555" t="s">
        <v>6</v>
      </c>
      <c r="C555" t="s">
        <v>10</v>
      </c>
      <c r="D555">
        <v>7693.01</v>
      </c>
      <c r="E555" t="s">
        <v>367</v>
      </c>
    </row>
    <row r="556" spans="1:5" x14ac:dyDescent="0.3">
      <c r="A556">
        <v>1554</v>
      </c>
      <c r="B556" t="s">
        <v>7</v>
      </c>
      <c r="C556" t="s">
        <v>12</v>
      </c>
      <c r="E556" t="s">
        <v>445</v>
      </c>
    </row>
    <row r="557" spans="1:5" x14ac:dyDescent="0.3">
      <c r="A557">
        <v>1555</v>
      </c>
      <c r="B557" t="s">
        <v>6</v>
      </c>
      <c r="C557" t="s">
        <v>11</v>
      </c>
      <c r="D557">
        <v>30063.34</v>
      </c>
      <c r="E557" t="s">
        <v>438</v>
      </c>
    </row>
    <row r="558" spans="1:5" x14ac:dyDescent="0.3">
      <c r="A558">
        <v>1556</v>
      </c>
      <c r="B558" t="s">
        <v>8</v>
      </c>
      <c r="C558" t="s">
        <v>11</v>
      </c>
      <c r="E558" t="s">
        <v>446</v>
      </c>
    </row>
    <row r="559" spans="1:5" x14ac:dyDescent="0.3">
      <c r="A559">
        <v>1557</v>
      </c>
      <c r="B559" t="s">
        <v>5</v>
      </c>
      <c r="C559" t="s">
        <v>13</v>
      </c>
      <c r="D559">
        <v>9453.61</v>
      </c>
      <c r="E559" t="s">
        <v>447</v>
      </c>
    </row>
    <row r="560" spans="1:5" x14ac:dyDescent="0.3">
      <c r="A560">
        <v>1558</v>
      </c>
      <c r="B560" t="s">
        <v>7</v>
      </c>
      <c r="C560" t="s">
        <v>13</v>
      </c>
      <c r="D560">
        <v>50414.32</v>
      </c>
      <c r="E560" t="s">
        <v>448</v>
      </c>
    </row>
    <row r="561" spans="1:5" x14ac:dyDescent="0.3">
      <c r="A561">
        <v>1033</v>
      </c>
      <c r="B561" t="s">
        <v>7</v>
      </c>
      <c r="C561" t="s">
        <v>13</v>
      </c>
      <c r="D561">
        <v>38388.980000000003</v>
      </c>
      <c r="E561" t="s">
        <v>449</v>
      </c>
    </row>
    <row r="562" spans="1:5" x14ac:dyDescent="0.3">
      <c r="A562">
        <v>1560</v>
      </c>
      <c r="B562" t="s">
        <v>5</v>
      </c>
      <c r="C562" t="s">
        <v>12</v>
      </c>
      <c r="D562">
        <v>21221.119999999999</v>
      </c>
      <c r="E562" t="s">
        <v>127</v>
      </c>
    </row>
    <row r="563" spans="1:5" x14ac:dyDescent="0.3">
      <c r="A563">
        <v>1561</v>
      </c>
      <c r="B563" t="s">
        <v>5</v>
      </c>
      <c r="C563" t="s">
        <v>13</v>
      </c>
      <c r="D563">
        <v>39049.269999999997</v>
      </c>
      <c r="E563" t="s">
        <v>129</v>
      </c>
    </row>
    <row r="564" spans="1:5" x14ac:dyDescent="0.3">
      <c r="A564">
        <v>1369</v>
      </c>
      <c r="B564" t="s">
        <v>5</v>
      </c>
      <c r="C564" t="s">
        <v>12</v>
      </c>
      <c r="D564">
        <v>1760.95</v>
      </c>
      <c r="E564" t="s">
        <v>127</v>
      </c>
    </row>
    <row r="565" spans="1:5" x14ac:dyDescent="0.3">
      <c r="A565">
        <v>1563</v>
      </c>
      <c r="B565" t="s">
        <v>6</v>
      </c>
      <c r="C565" t="s">
        <v>12</v>
      </c>
      <c r="D565">
        <v>23418.77</v>
      </c>
      <c r="E565" t="s">
        <v>316</v>
      </c>
    </row>
    <row r="566" spans="1:5" x14ac:dyDescent="0.3">
      <c r="A566">
        <v>1564</v>
      </c>
      <c r="B566" t="s">
        <v>8</v>
      </c>
      <c r="C566" t="s">
        <v>10</v>
      </c>
      <c r="D566">
        <v>59252.83</v>
      </c>
      <c r="E566" t="s">
        <v>450</v>
      </c>
    </row>
    <row r="567" spans="1:5" x14ac:dyDescent="0.3">
      <c r="A567">
        <v>1565</v>
      </c>
      <c r="B567" t="s">
        <v>7</v>
      </c>
      <c r="C567" t="s">
        <v>10</v>
      </c>
      <c r="D567">
        <v>29111.22</v>
      </c>
      <c r="E567" t="s">
        <v>36</v>
      </c>
    </row>
    <row r="568" spans="1:5" x14ac:dyDescent="0.3">
      <c r="A568">
        <v>1566</v>
      </c>
      <c r="B568" t="s">
        <v>6</v>
      </c>
      <c r="C568" t="s">
        <v>12</v>
      </c>
      <c r="D568">
        <v>8571.23</v>
      </c>
      <c r="E568" t="s">
        <v>141</v>
      </c>
    </row>
    <row r="569" spans="1:5" x14ac:dyDescent="0.3">
      <c r="A569">
        <v>1567</v>
      </c>
      <c r="B569" t="s">
        <v>5</v>
      </c>
      <c r="C569" t="s">
        <v>13</v>
      </c>
      <c r="D569">
        <v>37531.19</v>
      </c>
      <c r="E569" t="s">
        <v>434</v>
      </c>
    </row>
    <row r="570" spans="1:5" x14ac:dyDescent="0.3">
      <c r="A570">
        <v>1568</v>
      </c>
      <c r="B570" t="s">
        <v>9</v>
      </c>
      <c r="C570" t="s">
        <v>12</v>
      </c>
      <c r="D570">
        <v>14335.96</v>
      </c>
      <c r="E570" t="s">
        <v>118</v>
      </c>
    </row>
    <row r="571" spans="1:5" x14ac:dyDescent="0.3">
      <c r="A571">
        <v>1569</v>
      </c>
      <c r="B571" t="s">
        <v>5</v>
      </c>
      <c r="C571" t="s">
        <v>10</v>
      </c>
      <c r="D571">
        <v>4364.59</v>
      </c>
      <c r="E571" t="s">
        <v>188</v>
      </c>
    </row>
    <row r="572" spans="1:5" x14ac:dyDescent="0.3">
      <c r="A572">
        <v>1570</v>
      </c>
      <c r="C572" t="s">
        <v>12</v>
      </c>
      <c r="D572">
        <v>31869.57</v>
      </c>
      <c r="E572" t="s">
        <v>270</v>
      </c>
    </row>
    <row r="573" spans="1:5" x14ac:dyDescent="0.3">
      <c r="A573">
        <v>1571</v>
      </c>
      <c r="B573" t="s">
        <v>9</v>
      </c>
      <c r="C573" t="s">
        <v>12</v>
      </c>
      <c r="D573">
        <v>35404.68</v>
      </c>
      <c r="E573" t="s">
        <v>221</v>
      </c>
    </row>
    <row r="574" spans="1:5" x14ac:dyDescent="0.3">
      <c r="A574">
        <v>1572</v>
      </c>
      <c r="B574" t="s">
        <v>8</v>
      </c>
      <c r="C574" t="s">
        <v>10</v>
      </c>
      <c r="D574">
        <v>54769.01</v>
      </c>
      <c r="E574" t="s">
        <v>451</v>
      </c>
    </row>
    <row r="575" spans="1:5" x14ac:dyDescent="0.3">
      <c r="A575">
        <v>1573</v>
      </c>
      <c r="B575" t="s">
        <v>5</v>
      </c>
      <c r="C575" t="s">
        <v>13</v>
      </c>
      <c r="D575">
        <v>38059.050000000003</v>
      </c>
      <c r="E575" t="s">
        <v>172</v>
      </c>
    </row>
    <row r="576" spans="1:5" x14ac:dyDescent="0.3">
      <c r="A576">
        <v>1574</v>
      </c>
      <c r="B576" t="s">
        <v>6</v>
      </c>
      <c r="C576" t="s">
        <v>10</v>
      </c>
      <c r="D576">
        <v>35204.14</v>
      </c>
      <c r="E576" t="s">
        <v>49</v>
      </c>
    </row>
    <row r="577" spans="1:5" x14ac:dyDescent="0.3">
      <c r="A577">
        <v>1575</v>
      </c>
      <c r="B577" t="s">
        <v>7</v>
      </c>
      <c r="C577" t="s">
        <v>11</v>
      </c>
      <c r="D577">
        <v>59867.21</v>
      </c>
      <c r="E577" t="s">
        <v>452</v>
      </c>
    </row>
    <row r="578" spans="1:5" x14ac:dyDescent="0.3">
      <c r="A578">
        <v>1576</v>
      </c>
      <c r="B578" t="s">
        <v>8</v>
      </c>
      <c r="C578" t="s">
        <v>13</v>
      </c>
      <c r="D578">
        <v>1011.01</v>
      </c>
      <c r="E578" t="s">
        <v>453</v>
      </c>
    </row>
    <row r="579" spans="1:5" x14ac:dyDescent="0.3">
      <c r="A579">
        <v>1577</v>
      </c>
      <c r="B579" t="s">
        <v>5</v>
      </c>
      <c r="C579" t="s">
        <v>12</v>
      </c>
      <c r="D579">
        <v>8985.9699999999993</v>
      </c>
      <c r="E579" t="s">
        <v>454</v>
      </c>
    </row>
    <row r="580" spans="1:5" x14ac:dyDescent="0.3">
      <c r="A580">
        <v>1578</v>
      </c>
      <c r="B580" t="s">
        <v>7</v>
      </c>
      <c r="C580" t="s">
        <v>12</v>
      </c>
      <c r="D580">
        <v>18544.330000000002</v>
      </c>
      <c r="E580" t="s">
        <v>455</v>
      </c>
    </row>
    <row r="581" spans="1:5" x14ac:dyDescent="0.3">
      <c r="A581">
        <v>1579</v>
      </c>
      <c r="B581" t="s">
        <v>8</v>
      </c>
      <c r="C581" t="s">
        <v>13</v>
      </c>
      <c r="D581">
        <v>36118.550000000003</v>
      </c>
      <c r="E581" t="s">
        <v>456</v>
      </c>
    </row>
    <row r="582" spans="1:5" x14ac:dyDescent="0.3">
      <c r="A582">
        <v>1580</v>
      </c>
      <c r="B582" t="s">
        <v>7</v>
      </c>
      <c r="C582" t="s">
        <v>12</v>
      </c>
      <c r="D582">
        <v>54573.09</v>
      </c>
      <c r="E582" t="s">
        <v>457</v>
      </c>
    </row>
    <row r="583" spans="1:5" x14ac:dyDescent="0.3">
      <c r="A583">
        <v>1581</v>
      </c>
      <c r="B583" t="s">
        <v>9</v>
      </c>
      <c r="C583" t="s">
        <v>12</v>
      </c>
      <c r="D583">
        <v>37249.599999999999</v>
      </c>
      <c r="E583" t="s">
        <v>458</v>
      </c>
    </row>
    <row r="584" spans="1:5" x14ac:dyDescent="0.3">
      <c r="A584">
        <v>1582</v>
      </c>
      <c r="B584" t="s">
        <v>6</v>
      </c>
      <c r="C584" t="s">
        <v>10</v>
      </c>
      <c r="D584">
        <v>38175.49</v>
      </c>
      <c r="E584" t="s">
        <v>459</v>
      </c>
    </row>
    <row r="585" spans="1:5" x14ac:dyDescent="0.3">
      <c r="A585">
        <v>1583</v>
      </c>
      <c r="B585" t="s">
        <v>9</v>
      </c>
      <c r="C585" t="s">
        <v>10</v>
      </c>
      <c r="D585">
        <v>20215.400000000001</v>
      </c>
      <c r="E585" t="s">
        <v>460</v>
      </c>
    </row>
    <row r="586" spans="1:5" x14ac:dyDescent="0.3">
      <c r="A586">
        <v>1584</v>
      </c>
      <c r="B586" t="s">
        <v>9</v>
      </c>
      <c r="C586" t="s">
        <v>13</v>
      </c>
      <c r="E586" t="s">
        <v>461</v>
      </c>
    </row>
    <row r="587" spans="1:5" x14ac:dyDescent="0.3">
      <c r="A587">
        <v>1585</v>
      </c>
      <c r="B587" t="s">
        <v>5</v>
      </c>
      <c r="C587" t="s">
        <v>12</v>
      </c>
      <c r="D587">
        <v>1761.53</v>
      </c>
      <c r="E587" t="s">
        <v>462</v>
      </c>
    </row>
    <row r="588" spans="1:5" x14ac:dyDescent="0.3">
      <c r="A588">
        <v>1586</v>
      </c>
      <c r="B588" t="s">
        <v>8</v>
      </c>
      <c r="C588" t="s">
        <v>10</v>
      </c>
      <c r="D588">
        <v>4219.3599999999997</v>
      </c>
      <c r="E588" t="s">
        <v>106</v>
      </c>
    </row>
    <row r="589" spans="1:5" x14ac:dyDescent="0.3">
      <c r="A589">
        <v>1587</v>
      </c>
      <c r="B589" t="s">
        <v>8</v>
      </c>
      <c r="C589" t="s">
        <v>13</v>
      </c>
      <c r="D589">
        <v>12616.38</v>
      </c>
      <c r="E589" t="s">
        <v>399</v>
      </c>
    </row>
    <row r="590" spans="1:5" x14ac:dyDescent="0.3">
      <c r="A590">
        <v>1588</v>
      </c>
      <c r="B590" t="s">
        <v>8</v>
      </c>
      <c r="C590" t="s">
        <v>11</v>
      </c>
      <c r="D590">
        <v>38256.07</v>
      </c>
      <c r="E590" t="s">
        <v>463</v>
      </c>
    </row>
    <row r="591" spans="1:5" x14ac:dyDescent="0.3">
      <c r="A591">
        <v>1589</v>
      </c>
      <c r="B591" t="s">
        <v>6</v>
      </c>
      <c r="C591" t="s">
        <v>10</v>
      </c>
      <c r="D591">
        <v>1845.52</v>
      </c>
      <c r="E591" t="s">
        <v>464</v>
      </c>
    </row>
    <row r="592" spans="1:5" x14ac:dyDescent="0.3">
      <c r="A592">
        <v>1590</v>
      </c>
      <c r="B592" t="s">
        <v>5</v>
      </c>
      <c r="C592" t="s">
        <v>11</v>
      </c>
      <c r="D592">
        <v>50397</v>
      </c>
      <c r="E592" t="s">
        <v>465</v>
      </c>
    </row>
    <row r="593" spans="1:5" x14ac:dyDescent="0.3">
      <c r="A593">
        <v>1591</v>
      </c>
      <c r="B593" t="s">
        <v>7</v>
      </c>
      <c r="C593" t="s">
        <v>13</v>
      </c>
      <c r="D593">
        <v>23815.72</v>
      </c>
      <c r="E593" t="s">
        <v>466</v>
      </c>
    </row>
    <row r="594" spans="1:5" x14ac:dyDescent="0.3">
      <c r="A594">
        <v>1592</v>
      </c>
      <c r="B594" t="s">
        <v>7</v>
      </c>
      <c r="C594" t="s">
        <v>11</v>
      </c>
      <c r="D594">
        <v>28991.66</v>
      </c>
      <c r="E594" t="s">
        <v>26</v>
      </c>
    </row>
    <row r="595" spans="1:5" x14ac:dyDescent="0.3">
      <c r="A595">
        <v>1593</v>
      </c>
      <c r="B595" t="s">
        <v>7</v>
      </c>
      <c r="C595" t="s">
        <v>13</v>
      </c>
      <c r="D595">
        <v>33914.550000000003</v>
      </c>
      <c r="E595" t="s">
        <v>467</v>
      </c>
    </row>
    <row r="596" spans="1:5" x14ac:dyDescent="0.3">
      <c r="A596">
        <v>1594</v>
      </c>
      <c r="B596" t="s">
        <v>8</v>
      </c>
      <c r="C596" t="s">
        <v>13</v>
      </c>
      <c r="D596">
        <v>31969.1</v>
      </c>
      <c r="E596" t="s">
        <v>266</v>
      </c>
    </row>
    <row r="597" spans="1:5" x14ac:dyDescent="0.3">
      <c r="A597">
        <v>1595</v>
      </c>
      <c r="B597" t="s">
        <v>5</v>
      </c>
      <c r="C597" t="s">
        <v>13</v>
      </c>
      <c r="D597">
        <v>47992.58</v>
      </c>
      <c r="E597" t="s">
        <v>468</v>
      </c>
    </row>
    <row r="598" spans="1:5" x14ac:dyDescent="0.3">
      <c r="A598">
        <v>1596</v>
      </c>
      <c r="B598" t="s">
        <v>5</v>
      </c>
      <c r="C598" t="s">
        <v>10</v>
      </c>
      <c r="D598">
        <v>9410.84</v>
      </c>
      <c r="E598" t="s">
        <v>469</v>
      </c>
    </row>
    <row r="599" spans="1:5" x14ac:dyDescent="0.3">
      <c r="A599">
        <v>1597</v>
      </c>
      <c r="B599" t="s">
        <v>5</v>
      </c>
      <c r="C599" t="s">
        <v>11</v>
      </c>
      <c r="D599">
        <v>20537.64</v>
      </c>
      <c r="E599" t="s">
        <v>470</v>
      </c>
    </row>
    <row r="600" spans="1:5" x14ac:dyDescent="0.3">
      <c r="A600">
        <v>1598</v>
      </c>
      <c r="B600" t="s">
        <v>8</v>
      </c>
      <c r="C600" t="s">
        <v>13</v>
      </c>
      <c r="D600">
        <v>57446.51</v>
      </c>
      <c r="E600" t="s">
        <v>471</v>
      </c>
    </row>
    <row r="601" spans="1:5" x14ac:dyDescent="0.3">
      <c r="A601">
        <v>1599</v>
      </c>
      <c r="B601" t="s">
        <v>5</v>
      </c>
      <c r="C601" t="s">
        <v>11</v>
      </c>
      <c r="D601">
        <v>48053.33</v>
      </c>
      <c r="E601" t="s">
        <v>472</v>
      </c>
    </row>
    <row r="602" spans="1:5" x14ac:dyDescent="0.3">
      <c r="A602">
        <v>1600</v>
      </c>
      <c r="B602" t="s">
        <v>7</v>
      </c>
      <c r="C602" t="s">
        <v>10</v>
      </c>
      <c r="D602">
        <v>39200.019999999997</v>
      </c>
      <c r="E602" t="s">
        <v>275</v>
      </c>
    </row>
    <row r="603" spans="1:5" x14ac:dyDescent="0.3">
      <c r="A603">
        <v>1601</v>
      </c>
      <c r="B603" t="s">
        <v>8</v>
      </c>
      <c r="C603" t="s">
        <v>12</v>
      </c>
      <c r="D603">
        <v>25170.7</v>
      </c>
      <c r="E603" t="s">
        <v>95</v>
      </c>
    </row>
    <row r="604" spans="1:5" x14ac:dyDescent="0.3">
      <c r="A604">
        <v>1602</v>
      </c>
      <c r="B604" t="s">
        <v>8</v>
      </c>
      <c r="C604" t="s">
        <v>13</v>
      </c>
      <c r="D604">
        <v>35123.230000000003</v>
      </c>
      <c r="E604" t="s">
        <v>410</v>
      </c>
    </row>
    <row r="605" spans="1:5" x14ac:dyDescent="0.3">
      <c r="A605">
        <v>1603</v>
      </c>
      <c r="B605" t="s">
        <v>5</v>
      </c>
      <c r="C605" t="s">
        <v>11</v>
      </c>
      <c r="D605">
        <v>33366.720000000001</v>
      </c>
      <c r="E605" t="s">
        <v>473</v>
      </c>
    </row>
    <row r="606" spans="1:5" x14ac:dyDescent="0.3">
      <c r="A606">
        <v>1604</v>
      </c>
      <c r="B606" t="s">
        <v>7</v>
      </c>
      <c r="C606" t="s">
        <v>11</v>
      </c>
      <c r="D606">
        <v>1653.63</v>
      </c>
      <c r="E606" t="s">
        <v>474</v>
      </c>
    </row>
    <row r="607" spans="1:5" x14ac:dyDescent="0.3">
      <c r="A607">
        <v>1605</v>
      </c>
      <c r="B607" t="s">
        <v>5</v>
      </c>
      <c r="C607" t="s">
        <v>12</v>
      </c>
      <c r="D607">
        <v>29544.35</v>
      </c>
      <c r="E607" t="s">
        <v>424</v>
      </c>
    </row>
    <row r="608" spans="1:5" x14ac:dyDescent="0.3">
      <c r="A608">
        <v>1606</v>
      </c>
      <c r="B608" t="s">
        <v>5</v>
      </c>
      <c r="C608" t="s">
        <v>10</v>
      </c>
      <c r="D608">
        <v>34646.93</v>
      </c>
      <c r="E608" t="s">
        <v>475</v>
      </c>
    </row>
    <row r="609" spans="1:5" x14ac:dyDescent="0.3">
      <c r="A609">
        <v>1607</v>
      </c>
      <c r="B609" t="s">
        <v>6</v>
      </c>
      <c r="C609" t="s">
        <v>13</v>
      </c>
      <c r="D609">
        <v>42002.23</v>
      </c>
      <c r="E609" t="s">
        <v>280</v>
      </c>
    </row>
    <row r="610" spans="1:5" x14ac:dyDescent="0.3">
      <c r="A610">
        <v>1608</v>
      </c>
      <c r="B610" t="s">
        <v>5</v>
      </c>
      <c r="C610" t="s">
        <v>10</v>
      </c>
      <c r="D610">
        <v>54805.62</v>
      </c>
      <c r="E610" t="s">
        <v>120</v>
      </c>
    </row>
    <row r="611" spans="1:5" x14ac:dyDescent="0.3">
      <c r="A611">
        <v>1609</v>
      </c>
      <c r="C611" t="s">
        <v>12</v>
      </c>
      <c r="D611">
        <v>44341.89</v>
      </c>
      <c r="E611" t="s">
        <v>103</v>
      </c>
    </row>
    <row r="612" spans="1:5" x14ac:dyDescent="0.3">
      <c r="A612">
        <v>1610</v>
      </c>
      <c r="B612" t="s">
        <v>7</v>
      </c>
      <c r="C612" t="s">
        <v>11</v>
      </c>
      <c r="D612">
        <v>33481.370000000003</v>
      </c>
      <c r="E612" t="s">
        <v>476</v>
      </c>
    </row>
    <row r="613" spans="1:5" x14ac:dyDescent="0.3">
      <c r="A613">
        <v>1611</v>
      </c>
      <c r="C613" t="s">
        <v>12</v>
      </c>
      <c r="D613">
        <v>53548.85</v>
      </c>
      <c r="E613" t="s">
        <v>477</v>
      </c>
    </row>
    <row r="614" spans="1:5" x14ac:dyDescent="0.3">
      <c r="A614">
        <v>1612</v>
      </c>
      <c r="B614" t="s">
        <v>8</v>
      </c>
      <c r="C614" t="s">
        <v>11</v>
      </c>
      <c r="D614">
        <v>10712.61</v>
      </c>
      <c r="E614" t="s">
        <v>478</v>
      </c>
    </row>
    <row r="615" spans="1:5" x14ac:dyDescent="0.3">
      <c r="A615">
        <v>1613</v>
      </c>
      <c r="B615" t="s">
        <v>7</v>
      </c>
      <c r="C615" t="s">
        <v>12</v>
      </c>
      <c r="D615">
        <v>26163.49</v>
      </c>
      <c r="E615" t="s">
        <v>424</v>
      </c>
    </row>
    <row r="616" spans="1:5" x14ac:dyDescent="0.3">
      <c r="A616">
        <v>1614</v>
      </c>
      <c r="B616" t="s">
        <v>6</v>
      </c>
      <c r="C616" t="s">
        <v>10</v>
      </c>
      <c r="D616">
        <v>1861.93</v>
      </c>
      <c r="E616" t="s">
        <v>479</v>
      </c>
    </row>
    <row r="617" spans="1:5" x14ac:dyDescent="0.3">
      <c r="A617">
        <v>1615</v>
      </c>
      <c r="B617" t="s">
        <v>8</v>
      </c>
      <c r="C617" t="s">
        <v>10</v>
      </c>
      <c r="D617">
        <v>20634.07</v>
      </c>
      <c r="E617" t="s">
        <v>222</v>
      </c>
    </row>
    <row r="618" spans="1:5" x14ac:dyDescent="0.3">
      <c r="A618">
        <v>1616</v>
      </c>
      <c r="B618" t="s">
        <v>9</v>
      </c>
      <c r="C618" t="s">
        <v>13</v>
      </c>
      <c r="E618" t="s">
        <v>280</v>
      </c>
    </row>
    <row r="619" spans="1:5" x14ac:dyDescent="0.3">
      <c r="A619">
        <v>1617</v>
      </c>
      <c r="C619" t="s">
        <v>10</v>
      </c>
      <c r="D619">
        <v>16115.3</v>
      </c>
      <c r="E619" t="s">
        <v>40</v>
      </c>
    </row>
    <row r="620" spans="1:5" x14ac:dyDescent="0.3">
      <c r="A620">
        <v>1618</v>
      </c>
      <c r="B620" t="s">
        <v>6</v>
      </c>
      <c r="C620" t="s">
        <v>13</v>
      </c>
      <c r="D620">
        <v>3377.05</v>
      </c>
      <c r="E620" t="s">
        <v>165</v>
      </c>
    </row>
    <row r="621" spans="1:5" x14ac:dyDescent="0.3">
      <c r="A621">
        <v>1619</v>
      </c>
      <c r="B621" t="s">
        <v>9</v>
      </c>
      <c r="C621" t="s">
        <v>11</v>
      </c>
      <c r="D621">
        <v>18899.75</v>
      </c>
      <c r="E621" t="s">
        <v>480</v>
      </c>
    </row>
    <row r="622" spans="1:5" x14ac:dyDescent="0.3">
      <c r="A622">
        <v>1620</v>
      </c>
      <c r="B622" t="s">
        <v>7</v>
      </c>
      <c r="C622" t="s">
        <v>13</v>
      </c>
      <c r="D622">
        <v>57947.37</v>
      </c>
      <c r="E622" t="s">
        <v>329</v>
      </c>
    </row>
    <row r="623" spans="1:5" x14ac:dyDescent="0.3">
      <c r="A623">
        <v>1621</v>
      </c>
      <c r="B623" t="s">
        <v>9</v>
      </c>
      <c r="C623" t="s">
        <v>10</v>
      </c>
      <c r="D623">
        <v>44967.67</v>
      </c>
      <c r="E623" t="s">
        <v>352</v>
      </c>
    </row>
    <row r="624" spans="1:5" x14ac:dyDescent="0.3">
      <c r="A624">
        <v>1622</v>
      </c>
      <c r="B624" t="s">
        <v>7</v>
      </c>
      <c r="C624" t="s">
        <v>12</v>
      </c>
      <c r="D624">
        <v>45325.46</v>
      </c>
      <c r="E624" t="s">
        <v>481</v>
      </c>
    </row>
    <row r="625" spans="1:5" x14ac:dyDescent="0.3">
      <c r="A625">
        <v>1623</v>
      </c>
      <c r="B625" t="s">
        <v>8</v>
      </c>
      <c r="C625" t="s">
        <v>13</v>
      </c>
      <c r="D625">
        <v>29684.25</v>
      </c>
      <c r="E625" t="s">
        <v>207</v>
      </c>
    </row>
    <row r="626" spans="1:5" x14ac:dyDescent="0.3">
      <c r="A626">
        <v>1624</v>
      </c>
      <c r="B626" t="s">
        <v>7</v>
      </c>
      <c r="C626" t="s">
        <v>12</v>
      </c>
      <c r="D626">
        <v>52407.6</v>
      </c>
      <c r="E626" t="s">
        <v>312</v>
      </c>
    </row>
    <row r="627" spans="1:5" x14ac:dyDescent="0.3">
      <c r="A627">
        <v>1625</v>
      </c>
      <c r="B627" t="s">
        <v>7</v>
      </c>
      <c r="C627" t="s">
        <v>12</v>
      </c>
      <c r="D627">
        <v>30534.18</v>
      </c>
      <c r="E627" t="s">
        <v>140</v>
      </c>
    </row>
    <row r="628" spans="1:5" x14ac:dyDescent="0.3">
      <c r="A628">
        <v>1626</v>
      </c>
      <c r="B628" t="s">
        <v>5</v>
      </c>
      <c r="C628" t="s">
        <v>12</v>
      </c>
      <c r="D628">
        <v>1303.24</v>
      </c>
      <c r="E628" t="s">
        <v>199</v>
      </c>
    </row>
    <row r="629" spans="1:5" x14ac:dyDescent="0.3">
      <c r="A629">
        <v>1627</v>
      </c>
      <c r="B629" t="s">
        <v>6</v>
      </c>
      <c r="C629" t="s">
        <v>11</v>
      </c>
      <c r="D629">
        <v>18077.009999999998</v>
      </c>
      <c r="E629" t="s">
        <v>352</v>
      </c>
    </row>
    <row r="630" spans="1:5" x14ac:dyDescent="0.3">
      <c r="A630">
        <v>1628</v>
      </c>
      <c r="B630" t="s">
        <v>8</v>
      </c>
      <c r="C630" t="s">
        <v>10</v>
      </c>
      <c r="D630">
        <v>52509.55</v>
      </c>
      <c r="E630" t="s">
        <v>482</v>
      </c>
    </row>
    <row r="631" spans="1:5" x14ac:dyDescent="0.3">
      <c r="A631">
        <v>1629</v>
      </c>
      <c r="B631" t="s">
        <v>6</v>
      </c>
      <c r="C631" t="s">
        <v>13</v>
      </c>
      <c r="D631">
        <v>49412.58</v>
      </c>
      <c r="E631" t="s">
        <v>483</v>
      </c>
    </row>
    <row r="632" spans="1:5" x14ac:dyDescent="0.3">
      <c r="A632">
        <v>1630</v>
      </c>
      <c r="B632" t="s">
        <v>9</v>
      </c>
      <c r="C632" t="s">
        <v>13</v>
      </c>
      <c r="D632">
        <v>49893.83</v>
      </c>
      <c r="E632" t="s">
        <v>484</v>
      </c>
    </row>
    <row r="633" spans="1:5" x14ac:dyDescent="0.3">
      <c r="A633">
        <v>1631</v>
      </c>
      <c r="B633" t="s">
        <v>6</v>
      </c>
      <c r="C633" t="s">
        <v>13</v>
      </c>
      <c r="D633">
        <v>9377.66</v>
      </c>
      <c r="E633" t="s">
        <v>485</v>
      </c>
    </row>
    <row r="634" spans="1:5" x14ac:dyDescent="0.3">
      <c r="A634">
        <v>1632</v>
      </c>
      <c r="B634" t="s">
        <v>7</v>
      </c>
      <c r="C634" t="s">
        <v>11</v>
      </c>
      <c r="D634">
        <v>21637.97</v>
      </c>
      <c r="E634" t="s">
        <v>178</v>
      </c>
    </row>
    <row r="635" spans="1:5" x14ac:dyDescent="0.3">
      <c r="A635">
        <v>1633</v>
      </c>
      <c r="B635" t="s">
        <v>7</v>
      </c>
      <c r="C635" t="s">
        <v>10</v>
      </c>
      <c r="D635">
        <v>24194.19</v>
      </c>
      <c r="E635" t="s">
        <v>486</v>
      </c>
    </row>
    <row r="636" spans="1:5" x14ac:dyDescent="0.3">
      <c r="A636">
        <v>1634</v>
      </c>
      <c r="B636" t="s">
        <v>8</v>
      </c>
      <c r="C636" t="s">
        <v>12</v>
      </c>
      <c r="D636">
        <v>21301.41</v>
      </c>
      <c r="E636" t="s">
        <v>487</v>
      </c>
    </row>
    <row r="637" spans="1:5" x14ac:dyDescent="0.3">
      <c r="A637">
        <v>1635</v>
      </c>
      <c r="C637" t="s">
        <v>10</v>
      </c>
      <c r="D637">
        <v>4724.66</v>
      </c>
      <c r="E637" t="s">
        <v>281</v>
      </c>
    </row>
    <row r="638" spans="1:5" x14ac:dyDescent="0.3">
      <c r="A638">
        <v>1636</v>
      </c>
      <c r="B638" t="s">
        <v>8</v>
      </c>
      <c r="C638" t="s">
        <v>11</v>
      </c>
      <c r="D638">
        <v>25909.34</v>
      </c>
      <c r="E638" t="s">
        <v>345</v>
      </c>
    </row>
    <row r="639" spans="1:5" x14ac:dyDescent="0.3">
      <c r="A639">
        <v>1637</v>
      </c>
      <c r="B639" t="s">
        <v>8</v>
      </c>
      <c r="C639" t="s">
        <v>13</v>
      </c>
      <c r="D639">
        <v>3717.72</v>
      </c>
      <c r="E639" t="s">
        <v>488</v>
      </c>
    </row>
    <row r="640" spans="1:5" x14ac:dyDescent="0.3">
      <c r="A640">
        <v>1638</v>
      </c>
      <c r="B640" t="s">
        <v>8</v>
      </c>
      <c r="C640" t="s">
        <v>12</v>
      </c>
      <c r="D640">
        <v>21355.99</v>
      </c>
      <c r="E640" t="s">
        <v>489</v>
      </c>
    </row>
    <row r="641" spans="1:5" x14ac:dyDescent="0.3">
      <c r="A641">
        <v>1639</v>
      </c>
      <c r="B641" t="s">
        <v>8</v>
      </c>
      <c r="C641" t="s">
        <v>11</v>
      </c>
      <c r="D641">
        <v>17602.189999999999</v>
      </c>
      <c r="E641" t="s">
        <v>490</v>
      </c>
    </row>
    <row r="642" spans="1:5" x14ac:dyDescent="0.3">
      <c r="A642">
        <v>1640</v>
      </c>
      <c r="B642" t="s">
        <v>9</v>
      </c>
      <c r="C642" t="s">
        <v>12</v>
      </c>
      <c r="D642">
        <v>26401.61</v>
      </c>
      <c r="E642" t="s">
        <v>320</v>
      </c>
    </row>
    <row r="643" spans="1:5" x14ac:dyDescent="0.3">
      <c r="A643">
        <v>1641</v>
      </c>
      <c r="B643" t="s">
        <v>6</v>
      </c>
      <c r="C643" t="s">
        <v>12</v>
      </c>
      <c r="D643">
        <v>45213.36</v>
      </c>
      <c r="E643" t="s">
        <v>491</v>
      </c>
    </row>
    <row r="644" spans="1:5" x14ac:dyDescent="0.3">
      <c r="A644">
        <v>1642</v>
      </c>
      <c r="B644" t="s">
        <v>5</v>
      </c>
      <c r="D644">
        <v>48341.71</v>
      </c>
      <c r="E644" t="s">
        <v>105</v>
      </c>
    </row>
    <row r="645" spans="1:5" x14ac:dyDescent="0.3">
      <c r="A645">
        <v>1643</v>
      </c>
      <c r="B645" t="s">
        <v>8</v>
      </c>
      <c r="C645" t="s">
        <v>12</v>
      </c>
      <c r="E645" t="s">
        <v>492</v>
      </c>
    </row>
    <row r="646" spans="1:5" x14ac:dyDescent="0.3">
      <c r="A646">
        <v>1644</v>
      </c>
      <c r="B646" t="s">
        <v>7</v>
      </c>
      <c r="C646" t="s">
        <v>11</v>
      </c>
      <c r="D646">
        <v>47167.51</v>
      </c>
      <c r="E646" t="s">
        <v>493</v>
      </c>
    </row>
    <row r="647" spans="1:5" x14ac:dyDescent="0.3">
      <c r="A647">
        <v>1645</v>
      </c>
      <c r="B647" t="s">
        <v>8</v>
      </c>
      <c r="C647" t="s">
        <v>13</v>
      </c>
      <c r="E647" t="s">
        <v>494</v>
      </c>
    </row>
    <row r="648" spans="1:5" x14ac:dyDescent="0.3">
      <c r="A648">
        <v>1345</v>
      </c>
      <c r="B648" t="s">
        <v>8</v>
      </c>
      <c r="C648" t="s">
        <v>13</v>
      </c>
      <c r="D648">
        <v>57132.41</v>
      </c>
      <c r="E648" t="s">
        <v>495</v>
      </c>
    </row>
    <row r="649" spans="1:5" x14ac:dyDescent="0.3">
      <c r="A649">
        <v>1647</v>
      </c>
      <c r="B649" t="s">
        <v>8</v>
      </c>
      <c r="C649" t="s">
        <v>12</v>
      </c>
      <c r="D649">
        <v>26880.2</v>
      </c>
      <c r="E649" t="s">
        <v>496</v>
      </c>
    </row>
    <row r="650" spans="1:5" x14ac:dyDescent="0.3">
      <c r="A650">
        <v>1648</v>
      </c>
      <c r="B650" t="s">
        <v>9</v>
      </c>
      <c r="C650" t="s">
        <v>11</v>
      </c>
      <c r="D650">
        <v>59633.25</v>
      </c>
      <c r="E650" t="s">
        <v>497</v>
      </c>
    </row>
    <row r="651" spans="1:5" x14ac:dyDescent="0.3">
      <c r="A651">
        <v>1649</v>
      </c>
      <c r="B651" t="s">
        <v>9</v>
      </c>
      <c r="C651" t="s">
        <v>10</v>
      </c>
      <c r="D651">
        <v>5161.6000000000004</v>
      </c>
      <c r="E651" t="s">
        <v>498</v>
      </c>
    </row>
    <row r="652" spans="1:5" x14ac:dyDescent="0.3">
      <c r="A652">
        <v>1650</v>
      </c>
      <c r="B652" t="s">
        <v>6</v>
      </c>
      <c r="C652" t="s">
        <v>10</v>
      </c>
      <c r="D652">
        <v>44534.94</v>
      </c>
      <c r="E652" t="s">
        <v>499</v>
      </c>
    </row>
    <row r="653" spans="1:5" x14ac:dyDescent="0.3">
      <c r="A653">
        <v>1651</v>
      </c>
      <c r="C653" t="s">
        <v>12</v>
      </c>
      <c r="D653">
        <v>56152.94</v>
      </c>
      <c r="E653" t="s">
        <v>500</v>
      </c>
    </row>
    <row r="654" spans="1:5" x14ac:dyDescent="0.3">
      <c r="A654">
        <v>1652</v>
      </c>
      <c r="B654" t="s">
        <v>9</v>
      </c>
      <c r="C654" t="s">
        <v>13</v>
      </c>
      <c r="D654">
        <v>52826.54</v>
      </c>
      <c r="E654" t="s">
        <v>187</v>
      </c>
    </row>
    <row r="655" spans="1:5" x14ac:dyDescent="0.3">
      <c r="A655">
        <v>1653</v>
      </c>
      <c r="B655" t="s">
        <v>6</v>
      </c>
      <c r="C655" t="s">
        <v>12</v>
      </c>
      <c r="D655">
        <v>47989.99</v>
      </c>
      <c r="E655" t="s">
        <v>127</v>
      </c>
    </row>
    <row r="656" spans="1:5" x14ac:dyDescent="0.3">
      <c r="A656">
        <v>1654</v>
      </c>
      <c r="B656" t="s">
        <v>9</v>
      </c>
      <c r="C656" t="s">
        <v>11</v>
      </c>
      <c r="D656">
        <v>11971.73</v>
      </c>
      <c r="E656" t="s">
        <v>501</v>
      </c>
    </row>
    <row r="657" spans="1:5" x14ac:dyDescent="0.3">
      <c r="A657">
        <v>1655</v>
      </c>
      <c r="B657" t="s">
        <v>5</v>
      </c>
      <c r="C657" t="s">
        <v>10</v>
      </c>
      <c r="E657" t="s">
        <v>280</v>
      </c>
    </row>
    <row r="658" spans="1:5" x14ac:dyDescent="0.3">
      <c r="A658">
        <v>1656</v>
      </c>
      <c r="B658" t="s">
        <v>8</v>
      </c>
      <c r="C658" t="s">
        <v>12</v>
      </c>
      <c r="D658">
        <v>37594.239999999998</v>
      </c>
      <c r="E658" t="s">
        <v>164</v>
      </c>
    </row>
    <row r="659" spans="1:5" x14ac:dyDescent="0.3">
      <c r="A659">
        <v>1657</v>
      </c>
      <c r="B659" t="s">
        <v>6</v>
      </c>
      <c r="C659" t="s">
        <v>10</v>
      </c>
      <c r="D659">
        <v>55141.19</v>
      </c>
      <c r="E659" t="s">
        <v>502</v>
      </c>
    </row>
    <row r="660" spans="1:5" x14ac:dyDescent="0.3">
      <c r="A660">
        <v>1658</v>
      </c>
      <c r="B660" t="s">
        <v>7</v>
      </c>
      <c r="C660" t="s">
        <v>12</v>
      </c>
      <c r="D660">
        <v>55652.19</v>
      </c>
      <c r="E660" t="s">
        <v>202</v>
      </c>
    </row>
    <row r="661" spans="1:5" x14ac:dyDescent="0.3">
      <c r="A661">
        <v>1659</v>
      </c>
      <c r="B661" t="s">
        <v>9</v>
      </c>
      <c r="C661" t="s">
        <v>13</v>
      </c>
      <c r="D661">
        <v>12604.6</v>
      </c>
      <c r="E661" t="s">
        <v>74</v>
      </c>
    </row>
    <row r="662" spans="1:5" x14ac:dyDescent="0.3">
      <c r="A662">
        <v>1660</v>
      </c>
      <c r="B662" t="s">
        <v>9</v>
      </c>
      <c r="C662" t="s">
        <v>13</v>
      </c>
      <c r="D662">
        <v>43047.27</v>
      </c>
      <c r="E662" t="s">
        <v>503</v>
      </c>
    </row>
    <row r="663" spans="1:5" x14ac:dyDescent="0.3">
      <c r="A663">
        <v>1661</v>
      </c>
      <c r="B663" t="s">
        <v>7</v>
      </c>
      <c r="C663" t="s">
        <v>10</v>
      </c>
      <c r="D663">
        <v>41348.339999999997</v>
      </c>
      <c r="E663" t="s">
        <v>233</v>
      </c>
    </row>
    <row r="664" spans="1:5" x14ac:dyDescent="0.3">
      <c r="A664">
        <v>1662</v>
      </c>
      <c r="B664" t="s">
        <v>8</v>
      </c>
      <c r="C664" t="s">
        <v>12</v>
      </c>
      <c r="D664">
        <v>6137.2</v>
      </c>
      <c r="E664" t="s">
        <v>169</v>
      </c>
    </row>
    <row r="665" spans="1:5" x14ac:dyDescent="0.3">
      <c r="A665">
        <v>1663</v>
      </c>
      <c r="B665" t="s">
        <v>7</v>
      </c>
      <c r="C665" t="s">
        <v>13</v>
      </c>
      <c r="D665">
        <v>1356.78</v>
      </c>
      <c r="E665" t="s">
        <v>382</v>
      </c>
    </row>
    <row r="666" spans="1:5" x14ac:dyDescent="0.3">
      <c r="A666">
        <v>1664</v>
      </c>
      <c r="B666" t="s">
        <v>5</v>
      </c>
      <c r="C666" t="s">
        <v>12</v>
      </c>
      <c r="D666">
        <v>15172.95</v>
      </c>
      <c r="E666" t="s">
        <v>504</v>
      </c>
    </row>
    <row r="667" spans="1:5" x14ac:dyDescent="0.3">
      <c r="A667">
        <v>1665</v>
      </c>
      <c r="B667" t="s">
        <v>8</v>
      </c>
      <c r="C667" t="s">
        <v>12</v>
      </c>
      <c r="D667">
        <v>36363.01</v>
      </c>
      <c r="E667" t="s">
        <v>505</v>
      </c>
    </row>
    <row r="668" spans="1:5" x14ac:dyDescent="0.3">
      <c r="A668">
        <v>1666</v>
      </c>
      <c r="B668" t="s">
        <v>5</v>
      </c>
      <c r="C668" t="s">
        <v>10</v>
      </c>
      <c r="D668">
        <v>52972.81</v>
      </c>
      <c r="E668" t="s">
        <v>263</v>
      </c>
    </row>
    <row r="669" spans="1:5" x14ac:dyDescent="0.3">
      <c r="A669">
        <v>1667</v>
      </c>
      <c r="B669" t="s">
        <v>6</v>
      </c>
      <c r="C669" t="s">
        <v>13</v>
      </c>
      <c r="D669">
        <v>41793.550000000003</v>
      </c>
      <c r="E669" t="s">
        <v>70</v>
      </c>
    </row>
    <row r="670" spans="1:5" x14ac:dyDescent="0.3">
      <c r="A670">
        <v>1668</v>
      </c>
      <c r="B670" t="s">
        <v>8</v>
      </c>
      <c r="C670" t="s">
        <v>13</v>
      </c>
      <c r="D670">
        <v>45968.3</v>
      </c>
      <c r="E670" t="s">
        <v>81</v>
      </c>
    </row>
    <row r="671" spans="1:5" x14ac:dyDescent="0.3">
      <c r="A671">
        <v>1669</v>
      </c>
      <c r="B671" t="s">
        <v>7</v>
      </c>
      <c r="C671" t="s">
        <v>13</v>
      </c>
      <c r="D671">
        <v>36481.660000000003</v>
      </c>
      <c r="E671" t="s">
        <v>451</v>
      </c>
    </row>
    <row r="672" spans="1:5" x14ac:dyDescent="0.3">
      <c r="A672">
        <v>1670</v>
      </c>
      <c r="B672" t="s">
        <v>9</v>
      </c>
      <c r="C672" t="s">
        <v>11</v>
      </c>
      <c r="D672">
        <v>40751.620000000003</v>
      </c>
      <c r="E672" t="s">
        <v>118</v>
      </c>
    </row>
    <row r="673" spans="1:5" x14ac:dyDescent="0.3">
      <c r="A673">
        <v>1671</v>
      </c>
      <c r="B673" t="s">
        <v>9</v>
      </c>
      <c r="C673" t="s">
        <v>13</v>
      </c>
      <c r="D673">
        <v>13039.8</v>
      </c>
      <c r="E673" t="s">
        <v>165</v>
      </c>
    </row>
    <row r="674" spans="1:5" x14ac:dyDescent="0.3">
      <c r="A674">
        <v>1672</v>
      </c>
      <c r="B674" t="s">
        <v>7</v>
      </c>
      <c r="C674" t="s">
        <v>13</v>
      </c>
      <c r="D674">
        <v>37175.96</v>
      </c>
      <c r="E674" t="s">
        <v>506</v>
      </c>
    </row>
    <row r="675" spans="1:5" x14ac:dyDescent="0.3">
      <c r="A675">
        <v>1673</v>
      </c>
      <c r="B675" t="s">
        <v>7</v>
      </c>
      <c r="C675" t="s">
        <v>12</v>
      </c>
      <c r="D675">
        <v>8283.5400000000009</v>
      </c>
      <c r="E675" t="s">
        <v>507</v>
      </c>
    </row>
    <row r="676" spans="1:5" x14ac:dyDescent="0.3">
      <c r="A676">
        <v>1674</v>
      </c>
      <c r="B676" t="s">
        <v>6</v>
      </c>
      <c r="C676" t="s">
        <v>13</v>
      </c>
      <c r="D676">
        <v>50506.879999999997</v>
      </c>
      <c r="E676" t="s">
        <v>107</v>
      </c>
    </row>
    <row r="677" spans="1:5" x14ac:dyDescent="0.3">
      <c r="A677">
        <v>1675</v>
      </c>
      <c r="B677" t="s">
        <v>9</v>
      </c>
      <c r="C677" t="s">
        <v>12</v>
      </c>
      <c r="D677">
        <v>58549.21</v>
      </c>
      <c r="E677" t="s">
        <v>56</v>
      </c>
    </row>
    <row r="678" spans="1:5" x14ac:dyDescent="0.3">
      <c r="A678">
        <v>1676</v>
      </c>
      <c r="B678" t="s">
        <v>5</v>
      </c>
      <c r="C678" t="s">
        <v>11</v>
      </c>
      <c r="D678">
        <v>50684.3</v>
      </c>
      <c r="E678" t="s">
        <v>48</v>
      </c>
    </row>
    <row r="679" spans="1:5" x14ac:dyDescent="0.3">
      <c r="A679">
        <v>1677</v>
      </c>
      <c r="B679" t="s">
        <v>9</v>
      </c>
      <c r="C679" t="s">
        <v>11</v>
      </c>
      <c r="D679">
        <v>6199.93</v>
      </c>
      <c r="E679" t="s">
        <v>508</v>
      </c>
    </row>
    <row r="680" spans="1:5" x14ac:dyDescent="0.3">
      <c r="A680">
        <v>1678</v>
      </c>
      <c r="B680" t="s">
        <v>5</v>
      </c>
      <c r="C680" t="s">
        <v>13</v>
      </c>
      <c r="D680">
        <v>8027.29</v>
      </c>
      <c r="E680" t="s">
        <v>285</v>
      </c>
    </row>
    <row r="681" spans="1:5" x14ac:dyDescent="0.3">
      <c r="A681">
        <v>1679</v>
      </c>
      <c r="B681" t="s">
        <v>7</v>
      </c>
      <c r="C681" t="s">
        <v>11</v>
      </c>
      <c r="D681">
        <v>55787.22</v>
      </c>
      <c r="E681" t="s">
        <v>481</v>
      </c>
    </row>
    <row r="682" spans="1:5" x14ac:dyDescent="0.3">
      <c r="A682">
        <v>1680</v>
      </c>
      <c r="B682" t="s">
        <v>9</v>
      </c>
      <c r="C682" t="s">
        <v>10</v>
      </c>
      <c r="D682">
        <v>49476.85</v>
      </c>
      <c r="E682" t="s">
        <v>509</v>
      </c>
    </row>
    <row r="683" spans="1:5" x14ac:dyDescent="0.3">
      <c r="A683">
        <v>1681</v>
      </c>
      <c r="B683" t="s">
        <v>5</v>
      </c>
      <c r="C683" t="s">
        <v>13</v>
      </c>
      <c r="D683">
        <v>42994.9</v>
      </c>
      <c r="E683" t="s">
        <v>510</v>
      </c>
    </row>
    <row r="684" spans="1:5" x14ac:dyDescent="0.3">
      <c r="A684">
        <v>1682</v>
      </c>
      <c r="B684" t="s">
        <v>8</v>
      </c>
      <c r="C684" t="s">
        <v>12</v>
      </c>
      <c r="D684">
        <v>40334.449999999997</v>
      </c>
      <c r="E684" t="s">
        <v>232</v>
      </c>
    </row>
    <row r="685" spans="1:5" x14ac:dyDescent="0.3">
      <c r="A685">
        <v>1683</v>
      </c>
      <c r="B685" t="s">
        <v>9</v>
      </c>
      <c r="C685" t="s">
        <v>12</v>
      </c>
      <c r="D685">
        <v>11960.84</v>
      </c>
      <c r="E685" t="s">
        <v>511</v>
      </c>
    </row>
    <row r="686" spans="1:5" x14ac:dyDescent="0.3">
      <c r="A686">
        <v>1684</v>
      </c>
      <c r="B686" t="s">
        <v>9</v>
      </c>
      <c r="C686" t="s">
        <v>10</v>
      </c>
      <c r="D686">
        <v>56039.19</v>
      </c>
      <c r="E686" t="s">
        <v>320</v>
      </c>
    </row>
    <row r="687" spans="1:5" x14ac:dyDescent="0.3">
      <c r="A687">
        <v>1685</v>
      </c>
      <c r="B687" t="s">
        <v>9</v>
      </c>
      <c r="C687" t="s">
        <v>12</v>
      </c>
      <c r="D687">
        <v>51280.53</v>
      </c>
      <c r="E687" t="s">
        <v>418</v>
      </c>
    </row>
    <row r="688" spans="1:5" x14ac:dyDescent="0.3">
      <c r="A688">
        <v>1686</v>
      </c>
      <c r="B688" t="s">
        <v>8</v>
      </c>
      <c r="C688" t="s">
        <v>10</v>
      </c>
      <c r="D688">
        <v>17599.689999999999</v>
      </c>
      <c r="E688" t="s">
        <v>188</v>
      </c>
    </row>
    <row r="689" spans="1:5" x14ac:dyDescent="0.3">
      <c r="A689">
        <v>1687</v>
      </c>
      <c r="B689" t="s">
        <v>6</v>
      </c>
      <c r="C689" t="s">
        <v>12</v>
      </c>
      <c r="D689">
        <v>12502.54</v>
      </c>
      <c r="E689" t="s">
        <v>512</v>
      </c>
    </row>
    <row r="690" spans="1:5" x14ac:dyDescent="0.3">
      <c r="A690">
        <v>1688</v>
      </c>
      <c r="B690" t="s">
        <v>6</v>
      </c>
      <c r="C690" t="s">
        <v>11</v>
      </c>
      <c r="D690">
        <v>26072.26</v>
      </c>
      <c r="E690" t="s">
        <v>513</v>
      </c>
    </row>
    <row r="691" spans="1:5" x14ac:dyDescent="0.3">
      <c r="A691">
        <v>1689</v>
      </c>
      <c r="B691" t="s">
        <v>5</v>
      </c>
      <c r="C691" t="s">
        <v>12</v>
      </c>
      <c r="D691">
        <v>25881.040000000001</v>
      </c>
      <c r="E691" t="s">
        <v>477</v>
      </c>
    </row>
    <row r="692" spans="1:5" x14ac:dyDescent="0.3">
      <c r="A692">
        <v>1690</v>
      </c>
      <c r="B692" t="s">
        <v>8</v>
      </c>
      <c r="C692" t="s">
        <v>10</v>
      </c>
      <c r="D692">
        <v>53203.67</v>
      </c>
      <c r="E692" t="s">
        <v>514</v>
      </c>
    </row>
    <row r="693" spans="1:5" x14ac:dyDescent="0.3">
      <c r="A693">
        <v>1691</v>
      </c>
      <c r="B693" t="s">
        <v>6</v>
      </c>
      <c r="C693" t="s">
        <v>12</v>
      </c>
      <c r="D693">
        <v>36446.74</v>
      </c>
      <c r="E693" t="s">
        <v>134</v>
      </c>
    </row>
    <row r="694" spans="1:5" x14ac:dyDescent="0.3">
      <c r="A694">
        <v>1692</v>
      </c>
      <c r="B694" t="s">
        <v>8</v>
      </c>
      <c r="C694" t="s">
        <v>12</v>
      </c>
      <c r="D694">
        <v>11015.79</v>
      </c>
      <c r="E694" t="s">
        <v>232</v>
      </c>
    </row>
    <row r="695" spans="1:5" x14ac:dyDescent="0.3">
      <c r="A695">
        <v>1693</v>
      </c>
      <c r="B695" t="s">
        <v>7</v>
      </c>
      <c r="C695" t="s">
        <v>11</v>
      </c>
      <c r="D695">
        <v>15734.91</v>
      </c>
      <c r="E695" t="s">
        <v>515</v>
      </c>
    </row>
    <row r="696" spans="1:5" x14ac:dyDescent="0.3">
      <c r="A696">
        <v>1694</v>
      </c>
      <c r="B696" t="s">
        <v>5</v>
      </c>
      <c r="C696" t="s">
        <v>13</v>
      </c>
      <c r="D696">
        <v>44862.68</v>
      </c>
      <c r="E696" t="s">
        <v>403</v>
      </c>
    </row>
    <row r="697" spans="1:5" x14ac:dyDescent="0.3">
      <c r="A697">
        <v>1695</v>
      </c>
      <c r="B697" t="s">
        <v>6</v>
      </c>
      <c r="C697" t="s">
        <v>12</v>
      </c>
      <c r="D697">
        <v>8440.7999999999993</v>
      </c>
      <c r="E697" t="s">
        <v>516</v>
      </c>
    </row>
    <row r="698" spans="1:5" x14ac:dyDescent="0.3">
      <c r="A698">
        <v>1696</v>
      </c>
      <c r="B698" t="s">
        <v>8</v>
      </c>
      <c r="C698" t="s">
        <v>11</v>
      </c>
      <c r="D698">
        <v>8745.99</v>
      </c>
      <c r="E698" t="s">
        <v>61</v>
      </c>
    </row>
    <row r="699" spans="1:5" x14ac:dyDescent="0.3">
      <c r="A699">
        <v>1697</v>
      </c>
      <c r="B699" t="s">
        <v>7</v>
      </c>
      <c r="C699" t="s">
        <v>11</v>
      </c>
      <c r="D699">
        <v>10136.6</v>
      </c>
      <c r="E699" t="s">
        <v>29</v>
      </c>
    </row>
    <row r="700" spans="1:5" x14ac:dyDescent="0.3">
      <c r="A700">
        <v>1698</v>
      </c>
      <c r="C700" t="s">
        <v>13</v>
      </c>
      <c r="D700">
        <v>9729.5400000000009</v>
      </c>
      <c r="E700" t="s">
        <v>354</v>
      </c>
    </row>
    <row r="701" spans="1:5" x14ac:dyDescent="0.3">
      <c r="A701">
        <v>1699</v>
      </c>
      <c r="B701" t="s">
        <v>5</v>
      </c>
      <c r="C701" t="s">
        <v>11</v>
      </c>
      <c r="D701">
        <v>48705.66</v>
      </c>
      <c r="E701" t="s">
        <v>517</v>
      </c>
    </row>
    <row r="702" spans="1:5" x14ac:dyDescent="0.3">
      <c r="A702">
        <v>1700</v>
      </c>
      <c r="B702" t="s">
        <v>9</v>
      </c>
      <c r="C702" t="s">
        <v>10</v>
      </c>
      <c r="D702">
        <v>32763.42</v>
      </c>
      <c r="E702" t="s">
        <v>518</v>
      </c>
    </row>
    <row r="703" spans="1:5" x14ac:dyDescent="0.3">
      <c r="A703">
        <v>1701</v>
      </c>
      <c r="B703" t="s">
        <v>5</v>
      </c>
      <c r="C703" t="s">
        <v>12</v>
      </c>
      <c r="D703">
        <v>40920.42</v>
      </c>
      <c r="E703" t="s">
        <v>519</v>
      </c>
    </row>
    <row r="704" spans="1:5" x14ac:dyDescent="0.3">
      <c r="A704">
        <v>1702</v>
      </c>
      <c r="B704" t="s">
        <v>8</v>
      </c>
      <c r="C704" t="s">
        <v>13</v>
      </c>
      <c r="D704">
        <v>55496.23</v>
      </c>
      <c r="E704" t="s">
        <v>520</v>
      </c>
    </row>
    <row r="705" spans="1:5" x14ac:dyDescent="0.3">
      <c r="A705">
        <v>1703</v>
      </c>
      <c r="B705" t="s">
        <v>7</v>
      </c>
      <c r="C705" t="s">
        <v>11</v>
      </c>
      <c r="D705">
        <v>17683.16</v>
      </c>
      <c r="E705" t="s">
        <v>521</v>
      </c>
    </row>
    <row r="706" spans="1:5" x14ac:dyDescent="0.3">
      <c r="A706">
        <v>1704</v>
      </c>
      <c r="B706" t="s">
        <v>5</v>
      </c>
      <c r="C706" t="s">
        <v>12</v>
      </c>
      <c r="D706">
        <v>38782.46</v>
      </c>
      <c r="E706" t="s">
        <v>514</v>
      </c>
    </row>
    <row r="707" spans="1:5" x14ac:dyDescent="0.3">
      <c r="A707">
        <v>1705</v>
      </c>
      <c r="B707" t="s">
        <v>9</v>
      </c>
      <c r="C707" t="s">
        <v>10</v>
      </c>
      <c r="D707">
        <v>24231.55</v>
      </c>
      <c r="E707" t="s">
        <v>522</v>
      </c>
    </row>
    <row r="708" spans="1:5" x14ac:dyDescent="0.3">
      <c r="A708">
        <v>1706</v>
      </c>
      <c r="B708" t="s">
        <v>6</v>
      </c>
      <c r="C708" t="s">
        <v>12</v>
      </c>
      <c r="D708">
        <v>10913.18</v>
      </c>
      <c r="E708" t="s">
        <v>264</v>
      </c>
    </row>
    <row r="709" spans="1:5" x14ac:dyDescent="0.3">
      <c r="A709">
        <v>1707</v>
      </c>
      <c r="B709" t="s">
        <v>8</v>
      </c>
      <c r="C709" t="s">
        <v>11</v>
      </c>
      <c r="D709">
        <v>1982.97</v>
      </c>
      <c r="E709" t="s">
        <v>497</v>
      </c>
    </row>
    <row r="710" spans="1:5" x14ac:dyDescent="0.3">
      <c r="A710">
        <v>1708</v>
      </c>
      <c r="B710" t="s">
        <v>9</v>
      </c>
      <c r="C710" t="s">
        <v>11</v>
      </c>
      <c r="D710">
        <v>8732.4599999999991</v>
      </c>
      <c r="E710" t="s">
        <v>523</v>
      </c>
    </row>
    <row r="711" spans="1:5" x14ac:dyDescent="0.3">
      <c r="A711">
        <v>1709</v>
      </c>
      <c r="B711" t="s">
        <v>9</v>
      </c>
      <c r="C711" t="s">
        <v>11</v>
      </c>
      <c r="D711">
        <v>35342.14</v>
      </c>
      <c r="E711" t="s">
        <v>198</v>
      </c>
    </row>
    <row r="712" spans="1:5" x14ac:dyDescent="0.3">
      <c r="A712">
        <v>1710</v>
      </c>
      <c r="B712" t="s">
        <v>9</v>
      </c>
      <c r="C712" t="s">
        <v>12</v>
      </c>
      <c r="D712">
        <v>51914.62</v>
      </c>
      <c r="E712" t="s">
        <v>524</v>
      </c>
    </row>
    <row r="713" spans="1:5" x14ac:dyDescent="0.3">
      <c r="A713">
        <v>1711</v>
      </c>
      <c r="B713" t="s">
        <v>9</v>
      </c>
      <c r="C713" t="s">
        <v>12</v>
      </c>
      <c r="D713">
        <v>49761.41</v>
      </c>
      <c r="E713" t="s">
        <v>525</v>
      </c>
    </row>
    <row r="714" spans="1:5" x14ac:dyDescent="0.3">
      <c r="A714">
        <v>1712</v>
      </c>
      <c r="B714" t="s">
        <v>7</v>
      </c>
      <c r="C714" t="s">
        <v>10</v>
      </c>
      <c r="D714">
        <v>51613.61</v>
      </c>
      <c r="E714" t="s">
        <v>526</v>
      </c>
    </row>
    <row r="715" spans="1:5" x14ac:dyDescent="0.3">
      <c r="A715">
        <v>1713</v>
      </c>
      <c r="B715" t="s">
        <v>9</v>
      </c>
      <c r="C715" t="s">
        <v>11</v>
      </c>
      <c r="D715">
        <v>14421.41</v>
      </c>
      <c r="E715" t="s">
        <v>527</v>
      </c>
    </row>
    <row r="716" spans="1:5" x14ac:dyDescent="0.3">
      <c r="A716">
        <v>1714</v>
      </c>
      <c r="B716" t="s">
        <v>5</v>
      </c>
      <c r="C716" t="s">
        <v>10</v>
      </c>
      <c r="D716">
        <v>53577.27</v>
      </c>
      <c r="E716" t="s">
        <v>80</v>
      </c>
    </row>
    <row r="717" spans="1:5" x14ac:dyDescent="0.3">
      <c r="A717">
        <v>1715</v>
      </c>
      <c r="B717" t="s">
        <v>8</v>
      </c>
      <c r="C717" t="s">
        <v>13</v>
      </c>
      <c r="D717">
        <v>11873.78</v>
      </c>
      <c r="E717" t="s">
        <v>224</v>
      </c>
    </row>
    <row r="718" spans="1:5" x14ac:dyDescent="0.3">
      <c r="A718">
        <v>1716</v>
      </c>
      <c r="C718" t="s">
        <v>11</v>
      </c>
      <c r="D718">
        <v>56213.74</v>
      </c>
      <c r="E718" t="s">
        <v>500</v>
      </c>
    </row>
    <row r="719" spans="1:5" x14ac:dyDescent="0.3">
      <c r="A719">
        <v>1717</v>
      </c>
      <c r="C719" t="s">
        <v>10</v>
      </c>
      <c r="D719">
        <v>26537.56</v>
      </c>
      <c r="E719" t="s">
        <v>343</v>
      </c>
    </row>
    <row r="720" spans="1:5" x14ac:dyDescent="0.3">
      <c r="A720">
        <v>1718</v>
      </c>
      <c r="B720" t="s">
        <v>8</v>
      </c>
      <c r="C720" t="s">
        <v>10</v>
      </c>
      <c r="D720">
        <v>55687.55</v>
      </c>
      <c r="E720" t="s">
        <v>200</v>
      </c>
    </row>
    <row r="721" spans="1:5" x14ac:dyDescent="0.3">
      <c r="A721">
        <v>1719</v>
      </c>
      <c r="B721" t="s">
        <v>6</v>
      </c>
      <c r="C721" t="s">
        <v>13</v>
      </c>
      <c r="D721">
        <v>20135.400000000001</v>
      </c>
      <c r="E721" t="s">
        <v>528</v>
      </c>
    </row>
    <row r="722" spans="1:5" x14ac:dyDescent="0.3">
      <c r="A722">
        <v>1720</v>
      </c>
      <c r="B722" t="s">
        <v>5</v>
      </c>
      <c r="C722" t="s">
        <v>12</v>
      </c>
      <c r="D722">
        <v>5871.76</v>
      </c>
      <c r="E722" t="s">
        <v>529</v>
      </c>
    </row>
    <row r="723" spans="1:5" x14ac:dyDescent="0.3">
      <c r="A723">
        <v>1721</v>
      </c>
      <c r="B723" t="s">
        <v>9</v>
      </c>
      <c r="C723" t="s">
        <v>13</v>
      </c>
      <c r="D723">
        <v>28861.360000000001</v>
      </c>
      <c r="E723" t="s">
        <v>29</v>
      </c>
    </row>
    <row r="724" spans="1:5" x14ac:dyDescent="0.3">
      <c r="A724">
        <v>1722</v>
      </c>
      <c r="C724" t="s">
        <v>12</v>
      </c>
      <c r="D724">
        <v>6388.22</v>
      </c>
      <c r="E724" t="s">
        <v>530</v>
      </c>
    </row>
    <row r="725" spans="1:5" x14ac:dyDescent="0.3">
      <c r="A725">
        <v>1723</v>
      </c>
      <c r="C725" t="s">
        <v>11</v>
      </c>
      <c r="D725">
        <v>45173.21</v>
      </c>
      <c r="E725" t="s">
        <v>316</v>
      </c>
    </row>
    <row r="726" spans="1:5" x14ac:dyDescent="0.3">
      <c r="A726">
        <v>1724</v>
      </c>
      <c r="B726" t="s">
        <v>6</v>
      </c>
      <c r="C726" t="s">
        <v>12</v>
      </c>
      <c r="D726">
        <v>58669.94</v>
      </c>
      <c r="E726" t="s">
        <v>531</v>
      </c>
    </row>
    <row r="727" spans="1:5" x14ac:dyDescent="0.3">
      <c r="A727">
        <v>1725</v>
      </c>
      <c r="B727" t="s">
        <v>8</v>
      </c>
      <c r="C727" t="s">
        <v>13</v>
      </c>
      <c r="D727">
        <v>18429.900000000001</v>
      </c>
      <c r="E727" t="s">
        <v>532</v>
      </c>
    </row>
    <row r="728" spans="1:5" x14ac:dyDescent="0.3">
      <c r="A728">
        <v>1726</v>
      </c>
      <c r="B728" t="s">
        <v>8</v>
      </c>
      <c r="D728">
        <v>2707.71</v>
      </c>
      <c r="E728" t="s">
        <v>263</v>
      </c>
    </row>
    <row r="729" spans="1:5" x14ac:dyDescent="0.3">
      <c r="A729">
        <v>1727</v>
      </c>
      <c r="B729" t="s">
        <v>5</v>
      </c>
      <c r="C729" t="s">
        <v>12</v>
      </c>
      <c r="D729">
        <v>15059.09</v>
      </c>
      <c r="E729" t="s">
        <v>280</v>
      </c>
    </row>
    <row r="730" spans="1:5" x14ac:dyDescent="0.3">
      <c r="A730">
        <v>1591</v>
      </c>
      <c r="B730" t="s">
        <v>7</v>
      </c>
      <c r="C730" t="s">
        <v>11</v>
      </c>
      <c r="D730">
        <v>58051.14</v>
      </c>
      <c r="E730" t="s">
        <v>533</v>
      </c>
    </row>
    <row r="731" spans="1:5" x14ac:dyDescent="0.3">
      <c r="A731">
        <v>1729</v>
      </c>
      <c r="B731" t="s">
        <v>5</v>
      </c>
      <c r="C731" t="s">
        <v>11</v>
      </c>
      <c r="D731">
        <v>39939.61</v>
      </c>
      <c r="E731" t="s">
        <v>268</v>
      </c>
    </row>
    <row r="732" spans="1:5" x14ac:dyDescent="0.3">
      <c r="A732">
        <v>1730</v>
      </c>
      <c r="B732" t="s">
        <v>7</v>
      </c>
      <c r="C732" t="s">
        <v>12</v>
      </c>
      <c r="D732">
        <v>33470.730000000003</v>
      </c>
      <c r="E732" t="s">
        <v>73</v>
      </c>
    </row>
    <row r="733" spans="1:5" x14ac:dyDescent="0.3">
      <c r="A733">
        <v>1731</v>
      </c>
      <c r="B733" t="s">
        <v>7</v>
      </c>
      <c r="C733" t="s">
        <v>11</v>
      </c>
      <c r="D733">
        <v>16739.55</v>
      </c>
      <c r="E733" t="s">
        <v>391</v>
      </c>
    </row>
    <row r="734" spans="1:5" x14ac:dyDescent="0.3">
      <c r="A734">
        <v>1732</v>
      </c>
      <c r="B734" t="s">
        <v>6</v>
      </c>
      <c r="C734" t="s">
        <v>13</v>
      </c>
      <c r="D734">
        <v>29970.17</v>
      </c>
      <c r="E734" t="s">
        <v>229</v>
      </c>
    </row>
    <row r="735" spans="1:5" x14ac:dyDescent="0.3">
      <c r="A735">
        <v>1733</v>
      </c>
      <c r="B735" t="s">
        <v>8</v>
      </c>
      <c r="C735" t="s">
        <v>10</v>
      </c>
      <c r="D735">
        <v>38820.47</v>
      </c>
      <c r="E735" t="s">
        <v>534</v>
      </c>
    </row>
    <row r="736" spans="1:5" x14ac:dyDescent="0.3">
      <c r="A736">
        <v>1734</v>
      </c>
      <c r="B736" t="s">
        <v>9</v>
      </c>
      <c r="C736" t="s">
        <v>12</v>
      </c>
      <c r="D736">
        <v>40935.46</v>
      </c>
      <c r="E736" t="s">
        <v>113</v>
      </c>
    </row>
    <row r="737" spans="1:5" x14ac:dyDescent="0.3">
      <c r="A737">
        <v>1735</v>
      </c>
      <c r="B737" t="s">
        <v>8</v>
      </c>
      <c r="C737" t="s">
        <v>12</v>
      </c>
      <c r="D737">
        <v>25626.11</v>
      </c>
      <c r="E737" t="s">
        <v>535</v>
      </c>
    </row>
    <row r="738" spans="1:5" x14ac:dyDescent="0.3">
      <c r="A738">
        <v>1736</v>
      </c>
      <c r="B738" t="s">
        <v>6</v>
      </c>
      <c r="C738" t="s">
        <v>11</v>
      </c>
      <c r="D738">
        <v>37593.86</v>
      </c>
      <c r="E738" t="s">
        <v>536</v>
      </c>
    </row>
    <row r="739" spans="1:5" x14ac:dyDescent="0.3">
      <c r="A739">
        <v>1737</v>
      </c>
      <c r="B739" t="s">
        <v>5</v>
      </c>
      <c r="C739" t="s">
        <v>12</v>
      </c>
      <c r="D739">
        <v>42537.86</v>
      </c>
      <c r="E739" t="s">
        <v>354</v>
      </c>
    </row>
    <row r="740" spans="1:5" x14ac:dyDescent="0.3">
      <c r="A740">
        <v>1738</v>
      </c>
      <c r="B740" t="s">
        <v>7</v>
      </c>
      <c r="C740" t="s">
        <v>12</v>
      </c>
      <c r="D740">
        <v>18893.689999999999</v>
      </c>
      <c r="E740" t="s">
        <v>537</v>
      </c>
    </row>
    <row r="741" spans="1:5" x14ac:dyDescent="0.3">
      <c r="A741">
        <v>1739</v>
      </c>
      <c r="B741" t="s">
        <v>5</v>
      </c>
      <c r="C741" t="s">
        <v>11</v>
      </c>
      <c r="D741">
        <v>22220.86</v>
      </c>
      <c r="E741" t="s">
        <v>406</v>
      </c>
    </row>
    <row r="742" spans="1:5" x14ac:dyDescent="0.3">
      <c r="A742">
        <v>1740</v>
      </c>
      <c r="B742" t="s">
        <v>8</v>
      </c>
      <c r="C742" t="s">
        <v>13</v>
      </c>
      <c r="D742">
        <v>14324.54</v>
      </c>
      <c r="E742" t="s">
        <v>28</v>
      </c>
    </row>
    <row r="743" spans="1:5" x14ac:dyDescent="0.3">
      <c r="A743">
        <v>1741</v>
      </c>
      <c r="B743" t="s">
        <v>8</v>
      </c>
      <c r="C743" t="s">
        <v>13</v>
      </c>
      <c r="D743">
        <v>43894.09</v>
      </c>
      <c r="E743" t="s">
        <v>538</v>
      </c>
    </row>
    <row r="744" spans="1:5" x14ac:dyDescent="0.3">
      <c r="A744">
        <v>1742</v>
      </c>
      <c r="B744" t="s">
        <v>6</v>
      </c>
      <c r="C744" t="s">
        <v>12</v>
      </c>
      <c r="D744">
        <v>24410.57</v>
      </c>
      <c r="E744" t="s">
        <v>367</v>
      </c>
    </row>
    <row r="745" spans="1:5" x14ac:dyDescent="0.3">
      <c r="A745">
        <v>1743</v>
      </c>
      <c r="B745" t="s">
        <v>8</v>
      </c>
      <c r="C745" t="s">
        <v>13</v>
      </c>
      <c r="D745">
        <v>33265.99</v>
      </c>
      <c r="E745" t="s">
        <v>539</v>
      </c>
    </row>
    <row r="746" spans="1:5" x14ac:dyDescent="0.3">
      <c r="A746">
        <v>1744</v>
      </c>
      <c r="B746" t="s">
        <v>5</v>
      </c>
      <c r="C746" t="s">
        <v>12</v>
      </c>
      <c r="D746">
        <v>30743.84</v>
      </c>
      <c r="E746" t="s">
        <v>213</v>
      </c>
    </row>
    <row r="747" spans="1:5" x14ac:dyDescent="0.3">
      <c r="A747">
        <v>1745</v>
      </c>
      <c r="B747" t="s">
        <v>8</v>
      </c>
      <c r="C747" t="s">
        <v>10</v>
      </c>
      <c r="D747">
        <v>42749.61</v>
      </c>
      <c r="E747" t="s">
        <v>363</v>
      </c>
    </row>
    <row r="748" spans="1:5" x14ac:dyDescent="0.3">
      <c r="A748">
        <v>1746</v>
      </c>
      <c r="B748" t="s">
        <v>9</v>
      </c>
      <c r="C748" t="s">
        <v>10</v>
      </c>
      <c r="E748" t="s">
        <v>146</v>
      </c>
    </row>
    <row r="749" spans="1:5" x14ac:dyDescent="0.3">
      <c r="A749">
        <v>1747</v>
      </c>
      <c r="B749" t="s">
        <v>6</v>
      </c>
      <c r="D749">
        <v>5805.39</v>
      </c>
      <c r="E749" t="s">
        <v>540</v>
      </c>
    </row>
    <row r="750" spans="1:5" x14ac:dyDescent="0.3">
      <c r="A750">
        <v>1748</v>
      </c>
      <c r="B750" t="s">
        <v>9</v>
      </c>
      <c r="C750" t="s">
        <v>12</v>
      </c>
      <c r="D750">
        <v>10637.91</v>
      </c>
      <c r="E750" t="s">
        <v>541</v>
      </c>
    </row>
    <row r="751" spans="1:5" x14ac:dyDescent="0.3">
      <c r="A751">
        <v>1749</v>
      </c>
      <c r="B751" t="s">
        <v>9</v>
      </c>
      <c r="C751" t="s">
        <v>12</v>
      </c>
      <c r="D751">
        <v>26704.65</v>
      </c>
      <c r="E751" t="s">
        <v>114</v>
      </c>
    </row>
    <row r="752" spans="1:5" x14ac:dyDescent="0.3">
      <c r="A752">
        <v>1750</v>
      </c>
      <c r="B752" t="s">
        <v>7</v>
      </c>
      <c r="D752">
        <v>9004.0300000000007</v>
      </c>
      <c r="E752" t="s">
        <v>409</v>
      </c>
    </row>
    <row r="753" spans="1:5" x14ac:dyDescent="0.3">
      <c r="A753">
        <v>1751</v>
      </c>
      <c r="B753" t="s">
        <v>9</v>
      </c>
      <c r="C753" t="s">
        <v>11</v>
      </c>
      <c r="D753">
        <v>30912.98</v>
      </c>
      <c r="E753" t="s">
        <v>275</v>
      </c>
    </row>
    <row r="754" spans="1:5" x14ac:dyDescent="0.3">
      <c r="A754">
        <v>1752</v>
      </c>
      <c r="B754" t="s">
        <v>7</v>
      </c>
      <c r="C754" t="s">
        <v>13</v>
      </c>
      <c r="D754">
        <v>17468.7</v>
      </c>
      <c r="E754" t="s">
        <v>542</v>
      </c>
    </row>
    <row r="755" spans="1:5" x14ac:dyDescent="0.3">
      <c r="A755">
        <v>1753</v>
      </c>
      <c r="B755" t="s">
        <v>5</v>
      </c>
      <c r="C755" t="s">
        <v>13</v>
      </c>
      <c r="D755">
        <v>58560.51</v>
      </c>
      <c r="E755" t="s">
        <v>334</v>
      </c>
    </row>
    <row r="756" spans="1:5" x14ac:dyDescent="0.3">
      <c r="A756">
        <v>1754</v>
      </c>
      <c r="B756" t="s">
        <v>7</v>
      </c>
      <c r="C756" t="s">
        <v>10</v>
      </c>
      <c r="D756">
        <v>16050.51</v>
      </c>
      <c r="E756" t="s">
        <v>269</v>
      </c>
    </row>
    <row r="757" spans="1:5" x14ac:dyDescent="0.3">
      <c r="A757">
        <v>1755</v>
      </c>
      <c r="B757" t="s">
        <v>5</v>
      </c>
      <c r="C757" t="s">
        <v>12</v>
      </c>
      <c r="D757">
        <v>49677.08</v>
      </c>
      <c r="E757" t="s">
        <v>263</v>
      </c>
    </row>
    <row r="758" spans="1:5" x14ac:dyDescent="0.3">
      <c r="A758">
        <v>1756</v>
      </c>
      <c r="B758" t="s">
        <v>6</v>
      </c>
      <c r="C758" t="s">
        <v>11</v>
      </c>
      <c r="D758">
        <v>4897.26</v>
      </c>
      <c r="E758" t="s">
        <v>543</v>
      </c>
    </row>
    <row r="759" spans="1:5" x14ac:dyDescent="0.3">
      <c r="A759">
        <v>1757</v>
      </c>
      <c r="B759" t="s">
        <v>9</v>
      </c>
      <c r="C759" t="s">
        <v>10</v>
      </c>
      <c r="D759">
        <v>19108.93</v>
      </c>
      <c r="E759" t="s">
        <v>420</v>
      </c>
    </row>
    <row r="760" spans="1:5" x14ac:dyDescent="0.3">
      <c r="A760">
        <v>1758</v>
      </c>
      <c r="C760" t="s">
        <v>12</v>
      </c>
      <c r="D760">
        <v>53559.1</v>
      </c>
      <c r="E760" t="s">
        <v>164</v>
      </c>
    </row>
    <row r="761" spans="1:5" x14ac:dyDescent="0.3">
      <c r="A761">
        <v>1759</v>
      </c>
      <c r="B761" t="s">
        <v>8</v>
      </c>
      <c r="C761" t="s">
        <v>11</v>
      </c>
      <c r="D761">
        <v>50491.519999999997</v>
      </c>
      <c r="E761" t="s">
        <v>43</v>
      </c>
    </row>
    <row r="762" spans="1:5" x14ac:dyDescent="0.3">
      <c r="A762">
        <v>1760</v>
      </c>
      <c r="B762" t="s">
        <v>7</v>
      </c>
      <c r="C762" t="s">
        <v>11</v>
      </c>
      <c r="E762" t="s">
        <v>361</v>
      </c>
    </row>
    <row r="763" spans="1:5" x14ac:dyDescent="0.3">
      <c r="A763">
        <v>1761</v>
      </c>
      <c r="B763" t="s">
        <v>5</v>
      </c>
      <c r="C763" t="s">
        <v>12</v>
      </c>
      <c r="D763">
        <v>6389.84</v>
      </c>
      <c r="E763" t="s">
        <v>358</v>
      </c>
    </row>
    <row r="764" spans="1:5" x14ac:dyDescent="0.3">
      <c r="A764">
        <v>1762</v>
      </c>
      <c r="B764" t="s">
        <v>5</v>
      </c>
      <c r="C764" t="s">
        <v>11</v>
      </c>
      <c r="D764">
        <v>24398.84</v>
      </c>
      <c r="E764" t="s">
        <v>285</v>
      </c>
    </row>
    <row r="765" spans="1:5" x14ac:dyDescent="0.3">
      <c r="A765">
        <v>1763</v>
      </c>
      <c r="B765" t="s">
        <v>6</v>
      </c>
      <c r="C765" t="s">
        <v>11</v>
      </c>
      <c r="D765">
        <v>21627.25</v>
      </c>
      <c r="E765" t="s">
        <v>334</v>
      </c>
    </row>
    <row r="766" spans="1:5" x14ac:dyDescent="0.3">
      <c r="A766">
        <v>1764</v>
      </c>
      <c r="B766" t="s">
        <v>7</v>
      </c>
      <c r="C766" t="s">
        <v>10</v>
      </c>
      <c r="D766">
        <v>44759.360000000001</v>
      </c>
      <c r="E766" t="s">
        <v>444</v>
      </c>
    </row>
    <row r="767" spans="1:5" x14ac:dyDescent="0.3">
      <c r="A767">
        <v>1765</v>
      </c>
      <c r="B767" t="s">
        <v>5</v>
      </c>
      <c r="C767" t="s">
        <v>10</v>
      </c>
      <c r="D767">
        <v>51657.41</v>
      </c>
      <c r="E767" t="s">
        <v>55</v>
      </c>
    </row>
    <row r="768" spans="1:5" x14ac:dyDescent="0.3">
      <c r="A768">
        <v>1766</v>
      </c>
      <c r="B768" t="s">
        <v>8</v>
      </c>
      <c r="C768" t="s">
        <v>13</v>
      </c>
      <c r="D768">
        <v>20017.16</v>
      </c>
      <c r="E768" t="s">
        <v>21</v>
      </c>
    </row>
    <row r="769" spans="1:5" x14ac:dyDescent="0.3">
      <c r="A769">
        <v>1767</v>
      </c>
      <c r="B769" t="s">
        <v>6</v>
      </c>
      <c r="C769" t="s">
        <v>11</v>
      </c>
      <c r="D769">
        <v>17881.97</v>
      </c>
      <c r="E769" t="s">
        <v>274</v>
      </c>
    </row>
    <row r="770" spans="1:5" x14ac:dyDescent="0.3">
      <c r="A770">
        <v>1768</v>
      </c>
      <c r="C770" t="s">
        <v>10</v>
      </c>
      <c r="D770">
        <v>47546.69</v>
      </c>
      <c r="E770" t="s">
        <v>53</v>
      </c>
    </row>
    <row r="771" spans="1:5" x14ac:dyDescent="0.3">
      <c r="A771">
        <v>1769</v>
      </c>
      <c r="B771" t="s">
        <v>5</v>
      </c>
      <c r="C771" t="s">
        <v>12</v>
      </c>
      <c r="D771">
        <v>9510.16</v>
      </c>
      <c r="E771" t="s">
        <v>481</v>
      </c>
    </row>
    <row r="772" spans="1:5" x14ac:dyDescent="0.3">
      <c r="A772">
        <v>1770</v>
      </c>
      <c r="B772" t="s">
        <v>6</v>
      </c>
      <c r="C772" t="s">
        <v>13</v>
      </c>
      <c r="D772">
        <v>34861.82</v>
      </c>
      <c r="E772" t="s">
        <v>327</v>
      </c>
    </row>
    <row r="773" spans="1:5" x14ac:dyDescent="0.3">
      <c r="A773">
        <v>1771</v>
      </c>
      <c r="B773" t="s">
        <v>5</v>
      </c>
      <c r="C773" t="s">
        <v>10</v>
      </c>
      <c r="E773" t="s">
        <v>544</v>
      </c>
    </row>
    <row r="774" spans="1:5" x14ac:dyDescent="0.3">
      <c r="A774">
        <v>1772</v>
      </c>
      <c r="B774" t="s">
        <v>6</v>
      </c>
      <c r="C774" t="s">
        <v>10</v>
      </c>
      <c r="D774">
        <v>12603.37</v>
      </c>
      <c r="E774" t="s">
        <v>545</v>
      </c>
    </row>
    <row r="775" spans="1:5" x14ac:dyDescent="0.3">
      <c r="A775">
        <v>1773</v>
      </c>
      <c r="B775" t="s">
        <v>9</v>
      </c>
      <c r="C775" t="s">
        <v>11</v>
      </c>
      <c r="D775">
        <v>40932.379999999997</v>
      </c>
      <c r="E775" t="s">
        <v>266</v>
      </c>
    </row>
    <row r="776" spans="1:5" x14ac:dyDescent="0.3">
      <c r="A776">
        <v>1774</v>
      </c>
      <c r="B776" t="s">
        <v>5</v>
      </c>
      <c r="C776" t="s">
        <v>10</v>
      </c>
      <c r="D776">
        <v>31282.37</v>
      </c>
      <c r="E776" t="s">
        <v>546</v>
      </c>
    </row>
    <row r="777" spans="1:5" x14ac:dyDescent="0.3">
      <c r="A777">
        <v>1775</v>
      </c>
      <c r="B777" t="s">
        <v>9</v>
      </c>
      <c r="C777" t="s">
        <v>11</v>
      </c>
      <c r="D777">
        <v>10844.07</v>
      </c>
      <c r="E777" t="s">
        <v>547</v>
      </c>
    </row>
    <row r="778" spans="1:5" x14ac:dyDescent="0.3">
      <c r="A778">
        <v>1776</v>
      </c>
      <c r="B778" t="s">
        <v>7</v>
      </c>
      <c r="C778" t="s">
        <v>12</v>
      </c>
      <c r="D778">
        <v>13879.88</v>
      </c>
      <c r="E778" t="s">
        <v>208</v>
      </c>
    </row>
    <row r="779" spans="1:5" x14ac:dyDescent="0.3">
      <c r="A779">
        <v>1777</v>
      </c>
      <c r="B779" t="s">
        <v>7</v>
      </c>
      <c r="C779" t="s">
        <v>12</v>
      </c>
      <c r="D779">
        <v>50111.07</v>
      </c>
      <c r="E779" t="s">
        <v>254</v>
      </c>
    </row>
    <row r="780" spans="1:5" x14ac:dyDescent="0.3">
      <c r="A780">
        <v>1778</v>
      </c>
      <c r="B780" t="s">
        <v>9</v>
      </c>
      <c r="C780" t="s">
        <v>13</v>
      </c>
      <c r="D780">
        <v>41514.04</v>
      </c>
      <c r="E780" t="s">
        <v>548</v>
      </c>
    </row>
    <row r="781" spans="1:5" x14ac:dyDescent="0.3">
      <c r="A781">
        <v>1779</v>
      </c>
      <c r="B781" t="s">
        <v>5</v>
      </c>
      <c r="C781" t="s">
        <v>11</v>
      </c>
      <c r="D781">
        <v>26378.42</v>
      </c>
      <c r="E781" t="s">
        <v>549</v>
      </c>
    </row>
    <row r="782" spans="1:5" x14ac:dyDescent="0.3">
      <c r="A782">
        <v>1780</v>
      </c>
      <c r="B782" t="s">
        <v>8</v>
      </c>
      <c r="C782" t="s">
        <v>11</v>
      </c>
      <c r="D782">
        <v>57217.23</v>
      </c>
      <c r="E782" t="s">
        <v>550</v>
      </c>
    </row>
    <row r="783" spans="1:5" x14ac:dyDescent="0.3">
      <c r="A783">
        <v>1781</v>
      </c>
      <c r="B783" t="s">
        <v>7</v>
      </c>
      <c r="C783" t="s">
        <v>11</v>
      </c>
      <c r="D783">
        <v>43542.22</v>
      </c>
      <c r="E783" t="s">
        <v>215</v>
      </c>
    </row>
    <row r="784" spans="1:5" x14ac:dyDescent="0.3">
      <c r="A784">
        <v>1782</v>
      </c>
      <c r="B784" t="s">
        <v>6</v>
      </c>
      <c r="C784" t="s">
        <v>13</v>
      </c>
      <c r="D784">
        <v>53990.64</v>
      </c>
      <c r="E784" t="s">
        <v>289</v>
      </c>
    </row>
    <row r="785" spans="1:5" x14ac:dyDescent="0.3">
      <c r="A785">
        <v>1783</v>
      </c>
      <c r="B785" t="s">
        <v>9</v>
      </c>
      <c r="D785">
        <v>16908.169999999998</v>
      </c>
      <c r="E785" t="s">
        <v>161</v>
      </c>
    </row>
    <row r="786" spans="1:5" x14ac:dyDescent="0.3">
      <c r="A786">
        <v>1784</v>
      </c>
      <c r="B786" t="s">
        <v>6</v>
      </c>
      <c r="C786" t="s">
        <v>12</v>
      </c>
      <c r="D786">
        <v>14971.06</v>
      </c>
      <c r="E786" t="s">
        <v>551</v>
      </c>
    </row>
    <row r="787" spans="1:5" x14ac:dyDescent="0.3">
      <c r="A787">
        <v>1785</v>
      </c>
      <c r="B787" t="s">
        <v>6</v>
      </c>
      <c r="C787" t="s">
        <v>10</v>
      </c>
      <c r="D787">
        <v>18665.96</v>
      </c>
      <c r="E787" t="s">
        <v>306</v>
      </c>
    </row>
    <row r="788" spans="1:5" x14ac:dyDescent="0.3">
      <c r="A788">
        <v>1786</v>
      </c>
      <c r="B788" t="s">
        <v>8</v>
      </c>
      <c r="C788" t="s">
        <v>12</v>
      </c>
      <c r="D788">
        <v>24566.5</v>
      </c>
      <c r="E788" t="s">
        <v>239</v>
      </c>
    </row>
    <row r="789" spans="1:5" x14ac:dyDescent="0.3">
      <c r="A789">
        <v>1787</v>
      </c>
      <c r="B789" t="s">
        <v>9</v>
      </c>
      <c r="C789" t="s">
        <v>13</v>
      </c>
      <c r="D789">
        <v>5134.05</v>
      </c>
      <c r="E789" t="s">
        <v>258</v>
      </c>
    </row>
    <row r="790" spans="1:5" x14ac:dyDescent="0.3">
      <c r="A790">
        <v>1788</v>
      </c>
      <c r="B790" t="s">
        <v>6</v>
      </c>
      <c r="C790" t="s">
        <v>13</v>
      </c>
      <c r="D790">
        <v>4727.8</v>
      </c>
      <c r="E790" t="s">
        <v>195</v>
      </c>
    </row>
    <row r="791" spans="1:5" x14ac:dyDescent="0.3">
      <c r="A791">
        <v>1789</v>
      </c>
      <c r="B791" t="s">
        <v>5</v>
      </c>
      <c r="C791" t="s">
        <v>13</v>
      </c>
      <c r="D791">
        <v>32553.17</v>
      </c>
      <c r="E791" t="s">
        <v>502</v>
      </c>
    </row>
    <row r="792" spans="1:5" x14ac:dyDescent="0.3">
      <c r="A792">
        <v>1790</v>
      </c>
      <c r="B792" t="s">
        <v>6</v>
      </c>
      <c r="C792" t="s">
        <v>11</v>
      </c>
      <c r="D792">
        <v>25245.61</v>
      </c>
      <c r="E792" t="s">
        <v>399</v>
      </c>
    </row>
    <row r="793" spans="1:5" x14ac:dyDescent="0.3">
      <c r="A793">
        <v>1791</v>
      </c>
      <c r="B793" t="s">
        <v>5</v>
      </c>
      <c r="D793">
        <v>14952.02</v>
      </c>
      <c r="E793" t="s">
        <v>552</v>
      </c>
    </row>
    <row r="794" spans="1:5" x14ac:dyDescent="0.3">
      <c r="A794">
        <v>1792</v>
      </c>
      <c r="B794" t="s">
        <v>5</v>
      </c>
      <c r="C794" t="s">
        <v>12</v>
      </c>
      <c r="D794">
        <v>43324.99</v>
      </c>
      <c r="E794" t="s">
        <v>553</v>
      </c>
    </row>
    <row r="795" spans="1:5" x14ac:dyDescent="0.3">
      <c r="A795">
        <v>1793</v>
      </c>
      <c r="D795">
        <v>27868.3</v>
      </c>
      <c r="E795" t="s">
        <v>554</v>
      </c>
    </row>
    <row r="796" spans="1:5" x14ac:dyDescent="0.3">
      <c r="A796">
        <v>1794</v>
      </c>
      <c r="B796" t="s">
        <v>6</v>
      </c>
      <c r="C796" t="s">
        <v>10</v>
      </c>
      <c r="D796">
        <v>23591.279999999999</v>
      </c>
      <c r="E796" t="s">
        <v>555</v>
      </c>
    </row>
    <row r="797" spans="1:5" x14ac:dyDescent="0.3">
      <c r="A797">
        <v>1795</v>
      </c>
      <c r="B797" t="s">
        <v>7</v>
      </c>
      <c r="C797" t="s">
        <v>11</v>
      </c>
      <c r="D797">
        <v>16239.73</v>
      </c>
      <c r="E797" t="s">
        <v>149</v>
      </c>
    </row>
    <row r="798" spans="1:5" x14ac:dyDescent="0.3">
      <c r="A798">
        <v>1796</v>
      </c>
      <c r="B798" t="s">
        <v>5</v>
      </c>
      <c r="C798" t="s">
        <v>11</v>
      </c>
      <c r="D798">
        <v>54791.94</v>
      </c>
      <c r="E798" t="s">
        <v>556</v>
      </c>
    </row>
    <row r="799" spans="1:5" x14ac:dyDescent="0.3">
      <c r="A799">
        <v>1797</v>
      </c>
      <c r="B799" t="s">
        <v>8</v>
      </c>
      <c r="C799" t="s">
        <v>10</v>
      </c>
      <c r="D799">
        <v>27616.67</v>
      </c>
      <c r="E799" t="s">
        <v>216</v>
      </c>
    </row>
    <row r="800" spans="1:5" x14ac:dyDescent="0.3">
      <c r="A800">
        <v>1798</v>
      </c>
      <c r="B800" t="s">
        <v>9</v>
      </c>
      <c r="C800" t="s">
        <v>10</v>
      </c>
      <c r="D800">
        <v>50071.75</v>
      </c>
      <c r="E800" t="s">
        <v>48</v>
      </c>
    </row>
    <row r="801" spans="1:5" x14ac:dyDescent="0.3">
      <c r="A801">
        <v>1799</v>
      </c>
      <c r="B801" t="s">
        <v>5</v>
      </c>
      <c r="C801" t="s">
        <v>11</v>
      </c>
      <c r="D801">
        <v>6849.62</v>
      </c>
      <c r="E801" t="s">
        <v>218</v>
      </c>
    </row>
    <row r="802" spans="1:5" x14ac:dyDescent="0.3">
      <c r="A802">
        <v>1800</v>
      </c>
      <c r="B802" t="s">
        <v>8</v>
      </c>
      <c r="C802" t="s">
        <v>12</v>
      </c>
      <c r="D802">
        <v>56081.25</v>
      </c>
      <c r="E802" t="s">
        <v>557</v>
      </c>
    </row>
    <row r="803" spans="1:5" x14ac:dyDescent="0.3">
      <c r="A803">
        <v>1801</v>
      </c>
      <c r="B803" t="s">
        <v>7</v>
      </c>
      <c r="C803" t="s">
        <v>12</v>
      </c>
      <c r="D803">
        <v>35562.699999999997</v>
      </c>
      <c r="E803" t="s">
        <v>529</v>
      </c>
    </row>
    <row r="804" spans="1:5" x14ac:dyDescent="0.3">
      <c r="A804">
        <v>1802</v>
      </c>
      <c r="B804" t="s">
        <v>5</v>
      </c>
      <c r="C804" t="s">
        <v>11</v>
      </c>
      <c r="D804">
        <v>58397.81</v>
      </c>
      <c r="E804" t="s">
        <v>558</v>
      </c>
    </row>
    <row r="805" spans="1:5" x14ac:dyDescent="0.3">
      <c r="A805">
        <v>1803</v>
      </c>
      <c r="B805" t="s">
        <v>6</v>
      </c>
      <c r="C805" t="s">
        <v>10</v>
      </c>
      <c r="D805">
        <v>23974</v>
      </c>
      <c r="E805" t="s">
        <v>559</v>
      </c>
    </row>
    <row r="806" spans="1:5" x14ac:dyDescent="0.3">
      <c r="A806">
        <v>1804</v>
      </c>
      <c r="B806" t="s">
        <v>5</v>
      </c>
      <c r="D806">
        <v>55578.81</v>
      </c>
      <c r="E806" t="s">
        <v>560</v>
      </c>
    </row>
    <row r="807" spans="1:5" x14ac:dyDescent="0.3">
      <c r="A807">
        <v>1805</v>
      </c>
      <c r="B807" t="s">
        <v>9</v>
      </c>
      <c r="D807">
        <v>49700.95</v>
      </c>
      <c r="E807" t="s">
        <v>139</v>
      </c>
    </row>
    <row r="808" spans="1:5" x14ac:dyDescent="0.3">
      <c r="A808">
        <v>1806</v>
      </c>
      <c r="C808" t="s">
        <v>13</v>
      </c>
      <c r="D808">
        <v>54042.41</v>
      </c>
      <c r="E808" t="s">
        <v>287</v>
      </c>
    </row>
    <row r="809" spans="1:5" x14ac:dyDescent="0.3">
      <c r="A809">
        <v>1807</v>
      </c>
      <c r="B809" t="s">
        <v>6</v>
      </c>
      <c r="C809" t="s">
        <v>12</v>
      </c>
      <c r="D809">
        <v>29548.76</v>
      </c>
      <c r="E809" t="s">
        <v>336</v>
      </c>
    </row>
    <row r="810" spans="1:5" x14ac:dyDescent="0.3">
      <c r="A810">
        <v>1808</v>
      </c>
      <c r="B810" t="s">
        <v>8</v>
      </c>
      <c r="C810" t="s">
        <v>10</v>
      </c>
      <c r="D810">
        <v>48502.03</v>
      </c>
      <c r="E810" t="s">
        <v>561</v>
      </c>
    </row>
    <row r="811" spans="1:5" x14ac:dyDescent="0.3">
      <c r="A811">
        <v>1809</v>
      </c>
      <c r="B811" t="s">
        <v>6</v>
      </c>
      <c r="C811" t="s">
        <v>13</v>
      </c>
      <c r="D811">
        <v>57930.79</v>
      </c>
      <c r="E811" t="s">
        <v>562</v>
      </c>
    </row>
    <row r="812" spans="1:5" x14ac:dyDescent="0.3">
      <c r="A812">
        <v>1810</v>
      </c>
      <c r="B812" t="s">
        <v>6</v>
      </c>
      <c r="C812" t="s">
        <v>13</v>
      </c>
      <c r="D812">
        <v>1848</v>
      </c>
      <c r="E812" t="s">
        <v>563</v>
      </c>
    </row>
    <row r="813" spans="1:5" x14ac:dyDescent="0.3">
      <c r="A813">
        <v>1781</v>
      </c>
      <c r="B813" t="s">
        <v>9</v>
      </c>
      <c r="C813" t="s">
        <v>10</v>
      </c>
      <c r="D813">
        <v>5260.58</v>
      </c>
      <c r="E813" t="s">
        <v>375</v>
      </c>
    </row>
    <row r="814" spans="1:5" x14ac:dyDescent="0.3">
      <c r="A814">
        <v>1812</v>
      </c>
      <c r="B814" t="s">
        <v>9</v>
      </c>
      <c r="C814" t="s">
        <v>13</v>
      </c>
      <c r="D814">
        <v>52471.28</v>
      </c>
      <c r="E814" t="s">
        <v>564</v>
      </c>
    </row>
    <row r="815" spans="1:5" x14ac:dyDescent="0.3">
      <c r="A815">
        <v>1813</v>
      </c>
      <c r="B815" t="s">
        <v>6</v>
      </c>
      <c r="C815" t="s">
        <v>11</v>
      </c>
      <c r="D815">
        <v>15938.74</v>
      </c>
      <c r="E815" t="s">
        <v>565</v>
      </c>
    </row>
    <row r="816" spans="1:5" x14ac:dyDescent="0.3">
      <c r="A816">
        <v>1814</v>
      </c>
      <c r="B816" t="s">
        <v>9</v>
      </c>
      <c r="C816" t="s">
        <v>10</v>
      </c>
      <c r="D816">
        <v>52120.61</v>
      </c>
      <c r="E816" t="s">
        <v>320</v>
      </c>
    </row>
    <row r="817" spans="1:5" x14ac:dyDescent="0.3">
      <c r="A817">
        <v>1815</v>
      </c>
      <c r="B817" t="s">
        <v>9</v>
      </c>
      <c r="C817" t="s">
        <v>10</v>
      </c>
      <c r="D817">
        <v>6855.02</v>
      </c>
      <c r="E817" t="s">
        <v>566</v>
      </c>
    </row>
    <row r="818" spans="1:5" x14ac:dyDescent="0.3">
      <c r="A818">
        <v>1816</v>
      </c>
      <c r="B818" t="s">
        <v>6</v>
      </c>
      <c r="C818" t="s">
        <v>11</v>
      </c>
      <c r="D818">
        <v>37765.129999999997</v>
      </c>
      <c r="E818" t="s">
        <v>567</v>
      </c>
    </row>
    <row r="819" spans="1:5" x14ac:dyDescent="0.3">
      <c r="A819">
        <v>1817</v>
      </c>
      <c r="B819" t="s">
        <v>5</v>
      </c>
      <c r="C819" t="s">
        <v>10</v>
      </c>
      <c r="D819">
        <v>8481.31</v>
      </c>
      <c r="E819" t="s">
        <v>221</v>
      </c>
    </row>
    <row r="820" spans="1:5" x14ac:dyDescent="0.3">
      <c r="A820">
        <v>1818</v>
      </c>
      <c r="B820" t="s">
        <v>8</v>
      </c>
      <c r="C820" t="s">
        <v>10</v>
      </c>
      <c r="D820">
        <v>51337.37</v>
      </c>
      <c r="E820" t="s">
        <v>568</v>
      </c>
    </row>
    <row r="821" spans="1:5" x14ac:dyDescent="0.3">
      <c r="A821">
        <v>1819</v>
      </c>
      <c r="B821" t="s">
        <v>6</v>
      </c>
      <c r="C821" t="s">
        <v>12</v>
      </c>
      <c r="D821">
        <v>24257.24</v>
      </c>
      <c r="E821" t="s">
        <v>270</v>
      </c>
    </row>
    <row r="822" spans="1:5" x14ac:dyDescent="0.3">
      <c r="A822">
        <v>1820</v>
      </c>
      <c r="B822" t="s">
        <v>5</v>
      </c>
      <c r="C822" t="s">
        <v>11</v>
      </c>
      <c r="D822">
        <v>35686.239999999998</v>
      </c>
      <c r="E822" t="s">
        <v>569</v>
      </c>
    </row>
    <row r="823" spans="1:5" x14ac:dyDescent="0.3">
      <c r="A823">
        <v>1821</v>
      </c>
      <c r="B823" t="s">
        <v>9</v>
      </c>
      <c r="C823" t="s">
        <v>11</v>
      </c>
      <c r="D823">
        <v>58721.52</v>
      </c>
      <c r="E823" t="s">
        <v>450</v>
      </c>
    </row>
    <row r="824" spans="1:5" x14ac:dyDescent="0.3">
      <c r="A824">
        <v>1822</v>
      </c>
      <c r="B824" t="s">
        <v>8</v>
      </c>
      <c r="C824" t="s">
        <v>11</v>
      </c>
      <c r="E824" t="s">
        <v>570</v>
      </c>
    </row>
    <row r="825" spans="1:5" x14ac:dyDescent="0.3">
      <c r="A825">
        <v>1823</v>
      </c>
      <c r="B825" t="s">
        <v>9</v>
      </c>
      <c r="C825" t="s">
        <v>10</v>
      </c>
      <c r="D825">
        <v>17408.62</v>
      </c>
      <c r="E825" t="s">
        <v>84</v>
      </c>
    </row>
    <row r="826" spans="1:5" x14ac:dyDescent="0.3">
      <c r="A826">
        <v>1824</v>
      </c>
      <c r="B826" t="s">
        <v>8</v>
      </c>
      <c r="C826" t="s">
        <v>10</v>
      </c>
      <c r="D826">
        <v>2247.84</v>
      </c>
      <c r="E826" t="s">
        <v>571</v>
      </c>
    </row>
    <row r="827" spans="1:5" x14ac:dyDescent="0.3">
      <c r="A827">
        <v>1825</v>
      </c>
      <c r="B827" t="s">
        <v>9</v>
      </c>
      <c r="C827" t="s">
        <v>10</v>
      </c>
      <c r="D827">
        <v>28294.01</v>
      </c>
      <c r="E827" t="s">
        <v>572</v>
      </c>
    </row>
    <row r="828" spans="1:5" x14ac:dyDescent="0.3">
      <c r="A828">
        <v>1826</v>
      </c>
      <c r="B828" t="s">
        <v>7</v>
      </c>
      <c r="C828" t="s">
        <v>13</v>
      </c>
      <c r="D828">
        <v>54448.79</v>
      </c>
      <c r="E828" t="s">
        <v>210</v>
      </c>
    </row>
    <row r="829" spans="1:5" x14ac:dyDescent="0.3">
      <c r="A829">
        <v>1827</v>
      </c>
      <c r="B829" t="s">
        <v>9</v>
      </c>
      <c r="C829" t="s">
        <v>13</v>
      </c>
      <c r="D829">
        <v>35413.300000000003</v>
      </c>
      <c r="E829" t="s">
        <v>573</v>
      </c>
    </row>
    <row r="830" spans="1:5" x14ac:dyDescent="0.3">
      <c r="A830">
        <v>1828</v>
      </c>
      <c r="B830" t="s">
        <v>5</v>
      </c>
      <c r="C830" t="s">
        <v>10</v>
      </c>
      <c r="D830">
        <v>59358.39</v>
      </c>
      <c r="E830" t="s">
        <v>574</v>
      </c>
    </row>
    <row r="831" spans="1:5" x14ac:dyDescent="0.3">
      <c r="A831">
        <v>1829</v>
      </c>
      <c r="C831" t="s">
        <v>13</v>
      </c>
      <c r="D831">
        <v>47416.66</v>
      </c>
      <c r="E831" t="s">
        <v>575</v>
      </c>
    </row>
    <row r="832" spans="1:5" x14ac:dyDescent="0.3">
      <c r="A832">
        <v>1830</v>
      </c>
      <c r="B832" t="s">
        <v>8</v>
      </c>
      <c r="C832" t="s">
        <v>11</v>
      </c>
      <c r="D832">
        <v>12504.81</v>
      </c>
      <c r="E832" t="s">
        <v>576</v>
      </c>
    </row>
    <row r="833" spans="1:5" x14ac:dyDescent="0.3">
      <c r="A833">
        <v>1831</v>
      </c>
      <c r="B833" t="s">
        <v>6</v>
      </c>
      <c r="C833" t="s">
        <v>11</v>
      </c>
      <c r="D833">
        <v>48307.73</v>
      </c>
      <c r="E833" t="s">
        <v>577</v>
      </c>
    </row>
    <row r="834" spans="1:5" x14ac:dyDescent="0.3">
      <c r="A834">
        <v>1832</v>
      </c>
      <c r="B834" t="s">
        <v>7</v>
      </c>
      <c r="C834" t="s">
        <v>10</v>
      </c>
      <c r="D834">
        <v>2620.7600000000002</v>
      </c>
      <c r="E834" t="s">
        <v>170</v>
      </c>
    </row>
    <row r="835" spans="1:5" x14ac:dyDescent="0.3">
      <c r="A835">
        <v>1833</v>
      </c>
      <c r="B835" t="s">
        <v>8</v>
      </c>
      <c r="C835" t="s">
        <v>12</v>
      </c>
      <c r="D835">
        <v>12053.46</v>
      </c>
      <c r="E835" t="s">
        <v>578</v>
      </c>
    </row>
    <row r="836" spans="1:5" x14ac:dyDescent="0.3">
      <c r="A836">
        <v>1834</v>
      </c>
      <c r="B836" t="s">
        <v>9</v>
      </c>
      <c r="C836" t="s">
        <v>10</v>
      </c>
      <c r="D836">
        <v>55467.27</v>
      </c>
      <c r="E836" t="s">
        <v>579</v>
      </c>
    </row>
    <row r="837" spans="1:5" x14ac:dyDescent="0.3">
      <c r="A837">
        <v>1835</v>
      </c>
      <c r="B837" t="s">
        <v>6</v>
      </c>
      <c r="C837" t="s">
        <v>10</v>
      </c>
      <c r="D837">
        <v>39323.03</v>
      </c>
      <c r="E837" t="s">
        <v>457</v>
      </c>
    </row>
    <row r="838" spans="1:5" x14ac:dyDescent="0.3">
      <c r="A838">
        <v>1836</v>
      </c>
      <c r="B838" t="s">
        <v>6</v>
      </c>
      <c r="C838" t="s">
        <v>10</v>
      </c>
      <c r="D838">
        <v>32093.45</v>
      </c>
      <c r="E838" t="s">
        <v>580</v>
      </c>
    </row>
    <row r="839" spans="1:5" x14ac:dyDescent="0.3">
      <c r="A839">
        <v>1837</v>
      </c>
      <c r="B839" t="s">
        <v>8</v>
      </c>
      <c r="C839" t="s">
        <v>10</v>
      </c>
      <c r="D839">
        <v>7498.39</v>
      </c>
      <c r="E839" t="s">
        <v>145</v>
      </c>
    </row>
    <row r="840" spans="1:5" x14ac:dyDescent="0.3">
      <c r="A840">
        <v>1838</v>
      </c>
      <c r="B840" t="s">
        <v>5</v>
      </c>
      <c r="C840" t="s">
        <v>11</v>
      </c>
      <c r="D840">
        <v>9592.09</v>
      </c>
      <c r="E840" t="s">
        <v>581</v>
      </c>
    </row>
    <row r="841" spans="1:5" x14ac:dyDescent="0.3">
      <c r="A841">
        <v>1839</v>
      </c>
      <c r="B841" t="s">
        <v>8</v>
      </c>
      <c r="D841">
        <v>9333.3799999999992</v>
      </c>
      <c r="E841" t="s">
        <v>582</v>
      </c>
    </row>
    <row r="842" spans="1:5" x14ac:dyDescent="0.3">
      <c r="A842">
        <v>1840</v>
      </c>
      <c r="B842" t="s">
        <v>9</v>
      </c>
      <c r="C842" t="s">
        <v>10</v>
      </c>
      <c r="D842">
        <v>39365.050000000003</v>
      </c>
      <c r="E842" t="s">
        <v>583</v>
      </c>
    </row>
    <row r="843" spans="1:5" x14ac:dyDescent="0.3">
      <c r="A843">
        <v>1841</v>
      </c>
      <c r="B843" t="s">
        <v>5</v>
      </c>
      <c r="C843" t="s">
        <v>10</v>
      </c>
      <c r="D843">
        <v>53436.4</v>
      </c>
      <c r="E843" t="s">
        <v>584</v>
      </c>
    </row>
    <row r="844" spans="1:5" x14ac:dyDescent="0.3">
      <c r="A844">
        <v>1842</v>
      </c>
      <c r="B844" t="s">
        <v>6</v>
      </c>
      <c r="C844" t="s">
        <v>11</v>
      </c>
      <c r="D844">
        <v>23027.84</v>
      </c>
      <c r="E844" t="s">
        <v>204</v>
      </c>
    </row>
    <row r="845" spans="1:5" x14ac:dyDescent="0.3">
      <c r="A845">
        <v>1843</v>
      </c>
      <c r="B845" t="s">
        <v>9</v>
      </c>
      <c r="C845" t="s">
        <v>11</v>
      </c>
      <c r="D845">
        <v>8160.94</v>
      </c>
      <c r="E845" t="s">
        <v>585</v>
      </c>
    </row>
    <row r="846" spans="1:5" x14ac:dyDescent="0.3">
      <c r="A846">
        <v>1844</v>
      </c>
      <c r="B846" t="s">
        <v>5</v>
      </c>
      <c r="C846" t="s">
        <v>13</v>
      </c>
      <c r="E846" t="s">
        <v>576</v>
      </c>
    </row>
    <row r="847" spans="1:5" x14ac:dyDescent="0.3">
      <c r="A847">
        <v>1845</v>
      </c>
      <c r="B847" t="s">
        <v>7</v>
      </c>
      <c r="C847" t="s">
        <v>10</v>
      </c>
      <c r="D847">
        <v>52142.47</v>
      </c>
      <c r="E847" t="s">
        <v>221</v>
      </c>
    </row>
    <row r="848" spans="1:5" x14ac:dyDescent="0.3">
      <c r="A848">
        <v>1846</v>
      </c>
      <c r="B848" t="s">
        <v>7</v>
      </c>
      <c r="C848" t="s">
        <v>13</v>
      </c>
      <c r="D848">
        <v>10982.98</v>
      </c>
      <c r="E848" t="s">
        <v>201</v>
      </c>
    </row>
    <row r="849" spans="1:5" x14ac:dyDescent="0.3">
      <c r="A849">
        <v>1847</v>
      </c>
      <c r="B849" t="s">
        <v>5</v>
      </c>
      <c r="C849" t="s">
        <v>13</v>
      </c>
      <c r="D849">
        <v>2066.7800000000002</v>
      </c>
      <c r="E849" t="s">
        <v>74</v>
      </c>
    </row>
    <row r="850" spans="1:5" x14ac:dyDescent="0.3">
      <c r="A850">
        <v>1848</v>
      </c>
      <c r="B850" t="s">
        <v>7</v>
      </c>
      <c r="C850" t="s">
        <v>10</v>
      </c>
      <c r="D850">
        <v>28906.45</v>
      </c>
      <c r="E850" t="s">
        <v>428</v>
      </c>
    </row>
    <row r="851" spans="1:5" x14ac:dyDescent="0.3">
      <c r="A851">
        <v>1849</v>
      </c>
      <c r="B851" t="s">
        <v>8</v>
      </c>
      <c r="C851" t="s">
        <v>10</v>
      </c>
      <c r="D851">
        <v>6745.23</v>
      </c>
      <c r="E851" t="s">
        <v>586</v>
      </c>
    </row>
    <row r="852" spans="1:5" x14ac:dyDescent="0.3">
      <c r="A852">
        <v>1850</v>
      </c>
      <c r="B852" t="s">
        <v>7</v>
      </c>
      <c r="C852" t="s">
        <v>11</v>
      </c>
      <c r="D852">
        <v>46729.83</v>
      </c>
      <c r="E852" t="s">
        <v>482</v>
      </c>
    </row>
    <row r="853" spans="1:5" x14ac:dyDescent="0.3">
      <c r="A853">
        <v>1851</v>
      </c>
      <c r="B853" t="s">
        <v>9</v>
      </c>
      <c r="C853" t="s">
        <v>10</v>
      </c>
      <c r="D853">
        <v>43102.83</v>
      </c>
      <c r="E853" t="s">
        <v>347</v>
      </c>
    </row>
    <row r="854" spans="1:5" x14ac:dyDescent="0.3">
      <c r="A854">
        <v>1852</v>
      </c>
      <c r="B854" t="s">
        <v>7</v>
      </c>
      <c r="C854" t="s">
        <v>13</v>
      </c>
      <c r="D854">
        <v>44931.22</v>
      </c>
      <c r="E854" t="s">
        <v>587</v>
      </c>
    </row>
    <row r="855" spans="1:5" x14ac:dyDescent="0.3">
      <c r="A855">
        <v>1853</v>
      </c>
      <c r="B855" t="s">
        <v>9</v>
      </c>
      <c r="C855" t="s">
        <v>12</v>
      </c>
      <c r="D855">
        <v>43748.92</v>
      </c>
      <c r="E855" t="s">
        <v>588</v>
      </c>
    </row>
    <row r="856" spans="1:5" x14ac:dyDescent="0.3">
      <c r="A856">
        <v>1854</v>
      </c>
      <c r="C856" t="s">
        <v>13</v>
      </c>
      <c r="D856">
        <v>34370.61</v>
      </c>
      <c r="E856" t="s">
        <v>589</v>
      </c>
    </row>
    <row r="857" spans="1:5" x14ac:dyDescent="0.3">
      <c r="A857">
        <v>1855</v>
      </c>
      <c r="B857" t="s">
        <v>8</v>
      </c>
      <c r="C857" t="s">
        <v>13</v>
      </c>
      <c r="D857">
        <v>29547.15</v>
      </c>
      <c r="E857" t="s">
        <v>590</v>
      </c>
    </row>
    <row r="858" spans="1:5" x14ac:dyDescent="0.3">
      <c r="A858">
        <v>1856</v>
      </c>
      <c r="B858" t="s">
        <v>5</v>
      </c>
      <c r="C858" t="s">
        <v>13</v>
      </c>
      <c r="D858">
        <v>2728.67</v>
      </c>
      <c r="E858" t="s">
        <v>591</v>
      </c>
    </row>
    <row r="859" spans="1:5" x14ac:dyDescent="0.3">
      <c r="A859">
        <v>1857</v>
      </c>
      <c r="B859" t="s">
        <v>6</v>
      </c>
      <c r="C859" t="s">
        <v>12</v>
      </c>
      <c r="D859">
        <v>19609.57</v>
      </c>
      <c r="E859" t="s">
        <v>77</v>
      </c>
    </row>
    <row r="860" spans="1:5" x14ac:dyDescent="0.3">
      <c r="A860">
        <v>1858</v>
      </c>
      <c r="B860" t="s">
        <v>9</v>
      </c>
      <c r="C860" t="s">
        <v>10</v>
      </c>
      <c r="D860">
        <v>6569.45</v>
      </c>
      <c r="E860" t="s">
        <v>592</v>
      </c>
    </row>
    <row r="861" spans="1:5" x14ac:dyDescent="0.3">
      <c r="A861">
        <v>1859</v>
      </c>
      <c r="B861" t="s">
        <v>9</v>
      </c>
      <c r="C861" t="s">
        <v>12</v>
      </c>
      <c r="D861">
        <v>39069.019999999997</v>
      </c>
      <c r="E861" t="s">
        <v>593</v>
      </c>
    </row>
    <row r="862" spans="1:5" x14ac:dyDescent="0.3">
      <c r="A862">
        <v>1860</v>
      </c>
      <c r="B862" t="s">
        <v>9</v>
      </c>
      <c r="C862" t="s">
        <v>10</v>
      </c>
      <c r="D862">
        <v>42874.49</v>
      </c>
      <c r="E862" t="s">
        <v>544</v>
      </c>
    </row>
    <row r="863" spans="1:5" x14ac:dyDescent="0.3">
      <c r="A863">
        <v>1861</v>
      </c>
      <c r="B863" t="s">
        <v>9</v>
      </c>
      <c r="C863" t="s">
        <v>11</v>
      </c>
      <c r="D863">
        <v>28034.080000000002</v>
      </c>
      <c r="E863" t="s">
        <v>473</v>
      </c>
    </row>
    <row r="864" spans="1:5" x14ac:dyDescent="0.3">
      <c r="A864">
        <v>1862</v>
      </c>
      <c r="B864" t="s">
        <v>7</v>
      </c>
      <c r="C864" t="s">
        <v>11</v>
      </c>
      <c r="D864">
        <v>35346.54</v>
      </c>
      <c r="E864" t="s">
        <v>594</v>
      </c>
    </row>
    <row r="865" spans="1:5" x14ac:dyDescent="0.3">
      <c r="A865">
        <v>1863</v>
      </c>
      <c r="B865" t="s">
        <v>8</v>
      </c>
      <c r="C865" t="s">
        <v>10</v>
      </c>
      <c r="D865">
        <v>56195.86</v>
      </c>
      <c r="E865" t="s">
        <v>595</v>
      </c>
    </row>
    <row r="866" spans="1:5" x14ac:dyDescent="0.3">
      <c r="A866">
        <v>1864</v>
      </c>
      <c r="B866" t="s">
        <v>8</v>
      </c>
      <c r="C866" t="s">
        <v>12</v>
      </c>
      <c r="D866">
        <v>53500.35</v>
      </c>
      <c r="E866" t="s">
        <v>218</v>
      </c>
    </row>
    <row r="867" spans="1:5" x14ac:dyDescent="0.3">
      <c r="A867">
        <v>1865</v>
      </c>
      <c r="B867" t="s">
        <v>7</v>
      </c>
      <c r="C867" t="s">
        <v>13</v>
      </c>
      <c r="D867">
        <v>44815.519999999997</v>
      </c>
      <c r="E867" t="s">
        <v>596</v>
      </c>
    </row>
    <row r="868" spans="1:5" x14ac:dyDescent="0.3">
      <c r="A868">
        <v>1866</v>
      </c>
      <c r="B868" t="s">
        <v>7</v>
      </c>
      <c r="C868" t="s">
        <v>10</v>
      </c>
      <c r="D868">
        <v>27134.11</v>
      </c>
      <c r="E868" t="s">
        <v>402</v>
      </c>
    </row>
    <row r="869" spans="1:5" x14ac:dyDescent="0.3">
      <c r="A869">
        <v>1867</v>
      </c>
      <c r="B869" t="s">
        <v>8</v>
      </c>
      <c r="C869" t="s">
        <v>12</v>
      </c>
      <c r="D869">
        <v>13007.16</v>
      </c>
      <c r="E869" t="s">
        <v>597</v>
      </c>
    </row>
    <row r="870" spans="1:5" x14ac:dyDescent="0.3">
      <c r="A870">
        <v>1868</v>
      </c>
      <c r="C870" t="s">
        <v>10</v>
      </c>
      <c r="D870">
        <v>45138.23</v>
      </c>
      <c r="E870" t="s">
        <v>98</v>
      </c>
    </row>
    <row r="871" spans="1:5" x14ac:dyDescent="0.3">
      <c r="A871">
        <v>1869</v>
      </c>
      <c r="B871" t="s">
        <v>5</v>
      </c>
      <c r="C871" t="s">
        <v>11</v>
      </c>
      <c r="D871">
        <v>46720.78</v>
      </c>
      <c r="E871" t="s">
        <v>544</v>
      </c>
    </row>
    <row r="872" spans="1:5" x14ac:dyDescent="0.3">
      <c r="A872">
        <v>1870</v>
      </c>
      <c r="B872" t="s">
        <v>6</v>
      </c>
      <c r="C872" t="s">
        <v>13</v>
      </c>
      <c r="D872">
        <v>26728.16</v>
      </c>
      <c r="E872" t="s">
        <v>382</v>
      </c>
    </row>
    <row r="873" spans="1:5" x14ac:dyDescent="0.3">
      <c r="A873">
        <v>1871</v>
      </c>
      <c r="B873" t="s">
        <v>6</v>
      </c>
      <c r="C873" t="s">
        <v>10</v>
      </c>
      <c r="D873">
        <v>15876.49</v>
      </c>
      <c r="E873" t="s">
        <v>510</v>
      </c>
    </row>
    <row r="874" spans="1:5" x14ac:dyDescent="0.3">
      <c r="A874">
        <v>1872</v>
      </c>
      <c r="B874" t="s">
        <v>7</v>
      </c>
      <c r="C874" t="s">
        <v>10</v>
      </c>
      <c r="D874">
        <v>32242.48</v>
      </c>
      <c r="E874" t="s">
        <v>598</v>
      </c>
    </row>
    <row r="875" spans="1:5" x14ac:dyDescent="0.3">
      <c r="A875">
        <v>1873</v>
      </c>
      <c r="B875" t="s">
        <v>7</v>
      </c>
      <c r="C875" t="s">
        <v>11</v>
      </c>
      <c r="D875">
        <v>37720.18</v>
      </c>
      <c r="E875" t="s">
        <v>251</v>
      </c>
    </row>
    <row r="876" spans="1:5" x14ac:dyDescent="0.3">
      <c r="A876">
        <v>1874</v>
      </c>
      <c r="B876" t="s">
        <v>8</v>
      </c>
      <c r="C876" t="s">
        <v>10</v>
      </c>
      <c r="D876">
        <v>19897.63</v>
      </c>
      <c r="E876" t="s">
        <v>598</v>
      </c>
    </row>
    <row r="877" spans="1:5" x14ac:dyDescent="0.3">
      <c r="A877">
        <v>1875</v>
      </c>
      <c r="B877" t="s">
        <v>5</v>
      </c>
      <c r="C877" t="s">
        <v>12</v>
      </c>
      <c r="D877">
        <v>41775.25</v>
      </c>
      <c r="E877" t="s">
        <v>261</v>
      </c>
    </row>
    <row r="878" spans="1:5" x14ac:dyDescent="0.3">
      <c r="A878">
        <v>1876</v>
      </c>
      <c r="B878" t="s">
        <v>5</v>
      </c>
      <c r="C878" t="s">
        <v>13</v>
      </c>
      <c r="D878">
        <v>56107.95</v>
      </c>
      <c r="E878" t="s">
        <v>99</v>
      </c>
    </row>
    <row r="879" spans="1:5" x14ac:dyDescent="0.3">
      <c r="A879">
        <v>1877</v>
      </c>
      <c r="B879" t="s">
        <v>7</v>
      </c>
      <c r="C879" t="s">
        <v>13</v>
      </c>
      <c r="D879">
        <v>45472.32</v>
      </c>
      <c r="E879" t="s">
        <v>599</v>
      </c>
    </row>
    <row r="880" spans="1:5" x14ac:dyDescent="0.3">
      <c r="A880">
        <v>1878</v>
      </c>
      <c r="B880" t="s">
        <v>8</v>
      </c>
      <c r="C880" t="s">
        <v>13</v>
      </c>
      <c r="D880">
        <v>37731.949999999997</v>
      </c>
      <c r="E880" t="s">
        <v>600</v>
      </c>
    </row>
    <row r="881" spans="1:5" x14ac:dyDescent="0.3">
      <c r="A881">
        <v>1879</v>
      </c>
      <c r="B881" t="s">
        <v>7</v>
      </c>
      <c r="C881" t="s">
        <v>13</v>
      </c>
      <c r="D881">
        <v>17340.32</v>
      </c>
      <c r="E881" t="s">
        <v>337</v>
      </c>
    </row>
    <row r="882" spans="1:5" x14ac:dyDescent="0.3">
      <c r="A882">
        <v>1880</v>
      </c>
      <c r="B882" t="s">
        <v>9</v>
      </c>
      <c r="C882" t="s">
        <v>13</v>
      </c>
      <c r="D882">
        <v>22938.37</v>
      </c>
      <c r="E882" t="s">
        <v>262</v>
      </c>
    </row>
    <row r="883" spans="1:5" x14ac:dyDescent="0.3">
      <c r="A883">
        <v>1881</v>
      </c>
      <c r="B883" t="s">
        <v>8</v>
      </c>
      <c r="C883" t="s">
        <v>13</v>
      </c>
      <c r="D883">
        <v>50625.33</v>
      </c>
      <c r="E883" t="s">
        <v>601</v>
      </c>
    </row>
    <row r="884" spans="1:5" x14ac:dyDescent="0.3">
      <c r="A884">
        <v>1882</v>
      </c>
      <c r="B884" t="s">
        <v>8</v>
      </c>
      <c r="C884" t="s">
        <v>12</v>
      </c>
      <c r="D884">
        <v>41307.360000000001</v>
      </c>
      <c r="E884" t="s">
        <v>476</v>
      </c>
    </row>
    <row r="885" spans="1:5" x14ac:dyDescent="0.3">
      <c r="A885">
        <v>1883</v>
      </c>
      <c r="B885" t="s">
        <v>6</v>
      </c>
      <c r="C885" t="s">
        <v>10</v>
      </c>
      <c r="D885">
        <v>43902.61</v>
      </c>
      <c r="E885" t="s">
        <v>602</v>
      </c>
    </row>
    <row r="886" spans="1:5" x14ac:dyDescent="0.3">
      <c r="A886">
        <v>1884</v>
      </c>
      <c r="B886" t="s">
        <v>5</v>
      </c>
      <c r="C886" t="s">
        <v>12</v>
      </c>
      <c r="D886">
        <v>54557.3</v>
      </c>
      <c r="E886" t="s">
        <v>244</v>
      </c>
    </row>
    <row r="887" spans="1:5" x14ac:dyDescent="0.3">
      <c r="A887">
        <v>1885</v>
      </c>
      <c r="B887" t="s">
        <v>6</v>
      </c>
      <c r="C887" t="s">
        <v>10</v>
      </c>
      <c r="D887">
        <v>1536.79</v>
      </c>
      <c r="E887" t="s">
        <v>603</v>
      </c>
    </row>
    <row r="888" spans="1:5" x14ac:dyDescent="0.3">
      <c r="A888">
        <v>1886</v>
      </c>
      <c r="B888" t="s">
        <v>6</v>
      </c>
      <c r="C888" t="s">
        <v>13</v>
      </c>
      <c r="D888">
        <v>58262.73</v>
      </c>
      <c r="E888" t="s">
        <v>49</v>
      </c>
    </row>
    <row r="889" spans="1:5" x14ac:dyDescent="0.3">
      <c r="A889">
        <v>1887</v>
      </c>
      <c r="B889" t="s">
        <v>5</v>
      </c>
      <c r="C889" t="s">
        <v>10</v>
      </c>
      <c r="D889">
        <v>9521.75</v>
      </c>
      <c r="E889" t="s">
        <v>120</v>
      </c>
    </row>
    <row r="890" spans="1:5" x14ac:dyDescent="0.3">
      <c r="A890">
        <v>1888</v>
      </c>
      <c r="B890" t="s">
        <v>7</v>
      </c>
      <c r="C890" t="s">
        <v>13</v>
      </c>
      <c r="E890" t="s">
        <v>604</v>
      </c>
    </row>
    <row r="891" spans="1:5" x14ac:dyDescent="0.3">
      <c r="A891">
        <v>1889</v>
      </c>
      <c r="B891" t="s">
        <v>6</v>
      </c>
      <c r="C891" t="s">
        <v>13</v>
      </c>
      <c r="D891">
        <v>11844.96</v>
      </c>
      <c r="E891" t="s">
        <v>67</v>
      </c>
    </row>
    <row r="892" spans="1:5" x14ac:dyDescent="0.3">
      <c r="A892">
        <v>1890</v>
      </c>
      <c r="B892" t="s">
        <v>5</v>
      </c>
      <c r="C892" t="s">
        <v>10</v>
      </c>
      <c r="D892">
        <v>25794.73</v>
      </c>
      <c r="E892" t="s">
        <v>605</v>
      </c>
    </row>
    <row r="893" spans="1:5" x14ac:dyDescent="0.3">
      <c r="A893">
        <v>1891</v>
      </c>
      <c r="B893" t="s">
        <v>6</v>
      </c>
      <c r="C893" t="s">
        <v>13</v>
      </c>
      <c r="D893">
        <v>55282.25</v>
      </c>
      <c r="E893" t="s">
        <v>606</v>
      </c>
    </row>
    <row r="894" spans="1:5" x14ac:dyDescent="0.3">
      <c r="A894">
        <v>1892</v>
      </c>
      <c r="B894" t="s">
        <v>5</v>
      </c>
      <c r="C894" t="s">
        <v>10</v>
      </c>
      <c r="D894">
        <v>30607.4</v>
      </c>
      <c r="E894" t="s">
        <v>607</v>
      </c>
    </row>
    <row r="895" spans="1:5" x14ac:dyDescent="0.3">
      <c r="A895">
        <v>1893</v>
      </c>
      <c r="B895" t="s">
        <v>8</v>
      </c>
      <c r="C895" t="s">
        <v>11</v>
      </c>
      <c r="D895">
        <v>18798.07</v>
      </c>
      <c r="E895" t="s">
        <v>608</v>
      </c>
    </row>
    <row r="896" spans="1:5" x14ac:dyDescent="0.3">
      <c r="A896">
        <v>1894</v>
      </c>
      <c r="B896" t="s">
        <v>5</v>
      </c>
      <c r="D896">
        <v>54212.66</v>
      </c>
      <c r="E896" t="s">
        <v>362</v>
      </c>
    </row>
    <row r="897" spans="1:5" x14ac:dyDescent="0.3">
      <c r="A897">
        <v>1895</v>
      </c>
      <c r="B897" t="s">
        <v>7</v>
      </c>
      <c r="C897" t="s">
        <v>11</v>
      </c>
      <c r="D897">
        <v>8614.84</v>
      </c>
      <c r="E897" t="s">
        <v>609</v>
      </c>
    </row>
    <row r="898" spans="1:5" x14ac:dyDescent="0.3">
      <c r="A898">
        <v>1896</v>
      </c>
      <c r="B898" t="s">
        <v>6</v>
      </c>
      <c r="C898" t="s">
        <v>10</v>
      </c>
      <c r="E898" t="s">
        <v>610</v>
      </c>
    </row>
    <row r="899" spans="1:5" x14ac:dyDescent="0.3">
      <c r="A899">
        <v>1897</v>
      </c>
      <c r="B899" t="s">
        <v>8</v>
      </c>
      <c r="C899" t="s">
        <v>10</v>
      </c>
      <c r="D899">
        <v>39460.22</v>
      </c>
      <c r="E899" t="s">
        <v>611</v>
      </c>
    </row>
    <row r="900" spans="1:5" x14ac:dyDescent="0.3">
      <c r="A900">
        <v>1898</v>
      </c>
      <c r="B900" t="s">
        <v>5</v>
      </c>
      <c r="C900" t="s">
        <v>11</v>
      </c>
      <c r="D900">
        <v>42272.14</v>
      </c>
      <c r="E900" t="s">
        <v>365</v>
      </c>
    </row>
    <row r="901" spans="1:5" x14ac:dyDescent="0.3">
      <c r="A901">
        <v>1899</v>
      </c>
      <c r="B901" t="s">
        <v>5</v>
      </c>
      <c r="C901" t="s">
        <v>12</v>
      </c>
      <c r="D901">
        <v>36971.65</v>
      </c>
      <c r="E901" t="s">
        <v>612</v>
      </c>
    </row>
    <row r="902" spans="1:5" x14ac:dyDescent="0.3">
      <c r="A902">
        <v>1900</v>
      </c>
      <c r="B902" t="s">
        <v>5</v>
      </c>
      <c r="C902" t="s">
        <v>11</v>
      </c>
      <c r="D902">
        <v>53790.11</v>
      </c>
      <c r="E902" t="s">
        <v>613</v>
      </c>
    </row>
    <row r="903" spans="1:5" x14ac:dyDescent="0.3">
      <c r="A903">
        <v>1901</v>
      </c>
      <c r="B903" t="s">
        <v>8</v>
      </c>
      <c r="C903" t="s">
        <v>13</v>
      </c>
      <c r="D903">
        <v>12682.18</v>
      </c>
      <c r="E903" t="s">
        <v>614</v>
      </c>
    </row>
    <row r="904" spans="1:5" x14ac:dyDescent="0.3">
      <c r="A904">
        <v>1902</v>
      </c>
      <c r="B904" t="s">
        <v>5</v>
      </c>
      <c r="C904" t="s">
        <v>10</v>
      </c>
      <c r="D904">
        <v>8963.73</v>
      </c>
      <c r="E904" t="s">
        <v>321</v>
      </c>
    </row>
    <row r="905" spans="1:5" x14ac:dyDescent="0.3">
      <c r="A905">
        <v>1903</v>
      </c>
      <c r="B905" t="s">
        <v>5</v>
      </c>
      <c r="C905" t="s">
        <v>11</v>
      </c>
      <c r="D905">
        <v>20588.04</v>
      </c>
      <c r="E905" t="s">
        <v>615</v>
      </c>
    </row>
    <row r="906" spans="1:5" x14ac:dyDescent="0.3">
      <c r="A906">
        <v>1904</v>
      </c>
      <c r="B906" t="s">
        <v>7</v>
      </c>
      <c r="C906" t="s">
        <v>10</v>
      </c>
      <c r="E906" t="s">
        <v>616</v>
      </c>
    </row>
    <row r="907" spans="1:5" x14ac:dyDescent="0.3">
      <c r="A907">
        <v>1905</v>
      </c>
      <c r="B907" t="s">
        <v>8</v>
      </c>
      <c r="D907">
        <v>52669.99</v>
      </c>
      <c r="E907" t="s">
        <v>289</v>
      </c>
    </row>
    <row r="908" spans="1:5" x14ac:dyDescent="0.3">
      <c r="A908">
        <v>1906</v>
      </c>
      <c r="C908" t="s">
        <v>11</v>
      </c>
      <c r="D908">
        <v>33065.58</v>
      </c>
      <c r="E908" t="s">
        <v>369</v>
      </c>
    </row>
    <row r="909" spans="1:5" x14ac:dyDescent="0.3">
      <c r="A909">
        <v>1907</v>
      </c>
      <c r="B909" t="s">
        <v>5</v>
      </c>
      <c r="C909" t="s">
        <v>13</v>
      </c>
      <c r="D909">
        <v>40049.760000000002</v>
      </c>
      <c r="E909" t="s">
        <v>617</v>
      </c>
    </row>
    <row r="910" spans="1:5" x14ac:dyDescent="0.3">
      <c r="A910">
        <v>1908</v>
      </c>
      <c r="D910">
        <v>24977.97</v>
      </c>
      <c r="E910" t="s">
        <v>618</v>
      </c>
    </row>
    <row r="911" spans="1:5" x14ac:dyDescent="0.3">
      <c r="A911">
        <v>1909</v>
      </c>
      <c r="B911" t="s">
        <v>8</v>
      </c>
      <c r="C911" t="s">
        <v>13</v>
      </c>
      <c r="D911">
        <v>14692.64</v>
      </c>
      <c r="E911" t="s">
        <v>124</v>
      </c>
    </row>
    <row r="912" spans="1:5" x14ac:dyDescent="0.3">
      <c r="A912">
        <v>1910</v>
      </c>
      <c r="C912" t="s">
        <v>11</v>
      </c>
      <c r="D912">
        <v>15374.68</v>
      </c>
      <c r="E912" t="s">
        <v>570</v>
      </c>
    </row>
    <row r="913" spans="1:5" x14ac:dyDescent="0.3">
      <c r="A913">
        <v>1911</v>
      </c>
      <c r="B913" t="s">
        <v>8</v>
      </c>
      <c r="C913" t="s">
        <v>12</v>
      </c>
      <c r="D913">
        <v>20904.189999999999</v>
      </c>
      <c r="E913" t="s">
        <v>46</v>
      </c>
    </row>
    <row r="914" spans="1:5" x14ac:dyDescent="0.3">
      <c r="A914">
        <v>1694</v>
      </c>
      <c r="C914" t="s">
        <v>13</v>
      </c>
      <c r="D914">
        <v>40202.589999999997</v>
      </c>
      <c r="E914" t="s">
        <v>619</v>
      </c>
    </row>
    <row r="915" spans="1:5" x14ac:dyDescent="0.3">
      <c r="A915">
        <v>1913</v>
      </c>
      <c r="B915" t="s">
        <v>7</v>
      </c>
      <c r="C915" t="s">
        <v>13</v>
      </c>
      <c r="D915">
        <v>34641.050000000003</v>
      </c>
      <c r="E915" t="s">
        <v>401</v>
      </c>
    </row>
    <row r="916" spans="1:5" x14ac:dyDescent="0.3">
      <c r="A916">
        <v>1914</v>
      </c>
      <c r="B916" t="s">
        <v>8</v>
      </c>
      <c r="C916" t="s">
        <v>13</v>
      </c>
      <c r="D916">
        <v>7736.84</v>
      </c>
      <c r="E916" t="s">
        <v>620</v>
      </c>
    </row>
    <row r="917" spans="1:5" x14ac:dyDescent="0.3">
      <c r="A917">
        <v>1863</v>
      </c>
      <c r="B917" t="s">
        <v>6</v>
      </c>
      <c r="C917" t="s">
        <v>12</v>
      </c>
      <c r="D917">
        <v>59953.23</v>
      </c>
      <c r="E917" t="s">
        <v>52</v>
      </c>
    </row>
    <row r="918" spans="1:5" x14ac:dyDescent="0.3">
      <c r="A918">
        <v>1916</v>
      </c>
      <c r="B918" t="s">
        <v>6</v>
      </c>
      <c r="C918" t="s">
        <v>13</v>
      </c>
      <c r="D918">
        <v>33097.769999999997</v>
      </c>
      <c r="E918" t="s">
        <v>353</v>
      </c>
    </row>
    <row r="919" spans="1:5" x14ac:dyDescent="0.3">
      <c r="A919">
        <v>1917</v>
      </c>
      <c r="B919" t="s">
        <v>9</v>
      </c>
      <c r="C919" t="s">
        <v>10</v>
      </c>
      <c r="D919">
        <v>3942.01</v>
      </c>
      <c r="E919" t="s">
        <v>621</v>
      </c>
    </row>
    <row r="920" spans="1:5" x14ac:dyDescent="0.3">
      <c r="A920">
        <v>1918</v>
      </c>
      <c r="B920" t="s">
        <v>5</v>
      </c>
      <c r="C920" t="s">
        <v>12</v>
      </c>
      <c r="D920">
        <v>21945.9</v>
      </c>
      <c r="E920" t="s">
        <v>622</v>
      </c>
    </row>
    <row r="921" spans="1:5" x14ac:dyDescent="0.3">
      <c r="A921">
        <v>1919</v>
      </c>
      <c r="B921" t="s">
        <v>7</v>
      </c>
      <c r="C921" t="s">
        <v>10</v>
      </c>
      <c r="D921">
        <v>51850.94</v>
      </c>
      <c r="E921" t="s">
        <v>623</v>
      </c>
    </row>
    <row r="922" spans="1:5" x14ac:dyDescent="0.3">
      <c r="A922">
        <v>1920</v>
      </c>
      <c r="B922" t="s">
        <v>8</v>
      </c>
      <c r="C922" t="s">
        <v>10</v>
      </c>
      <c r="D922">
        <v>17849.2</v>
      </c>
      <c r="E922" t="s">
        <v>624</v>
      </c>
    </row>
    <row r="923" spans="1:5" x14ac:dyDescent="0.3">
      <c r="A923">
        <v>1921</v>
      </c>
      <c r="B923" t="s">
        <v>7</v>
      </c>
      <c r="C923" t="s">
        <v>13</v>
      </c>
      <c r="D923">
        <v>22548.45</v>
      </c>
      <c r="E923" t="s">
        <v>625</v>
      </c>
    </row>
    <row r="924" spans="1:5" x14ac:dyDescent="0.3">
      <c r="A924">
        <v>1922</v>
      </c>
      <c r="B924" t="s">
        <v>5</v>
      </c>
      <c r="C924" t="s">
        <v>11</v>
      </c>
      <c r="D924">
        <v>46665.71</v>
      </c>
      <c r="E924" t="s">
        <v>306</v>
      </c>
    </row>
    <row r="925" spans="1:5" x14ac:dyDescent="0.3">
      <c r="A925">
        <v>1923</v>
      </c>
      <c r="B925" t="s">
        <v>7</v>
      </c>
      <c r="C925" t="s">
        <v>10</v>
      </c>
      <c r="D925">
        <v>32592.76</v>
      </c>
      <c r="E925" t="s">
        <v>626</v>
      </c>
    </row>
    <row r="926" spans="1:5" x14ac:dyDescent="0.3">
      <c r="A926">
        <v>1924</v>
      </c>
      <c r="B926" t="s">
        <v>5</v>
      </c>
      <c r="C926" t="s">
        <v>10</v>
      </c>
      <c r="D926">
        <v>14812.06</v>
      </c>
      <c r="E926" t="s">
        <v>183</v>
      </c>
    </row>
    <row r="927" spans="1:5" x14ac:dyDescent="0.3">
      <c r="A927">
        <v>1925</v>
      </c>
      <c r="B927" t="s">
        <v>8</v>
      </c>
      <c r="C927" t="s">
        <v>10</v>
      </c>
      <c r="D927">
        <v>6251.57</v>
      </c>
      <c r="E927" t="s">
        <v>21</v>
      </c>
    </row>
    <row r="928" spans="1:5" x14ac:dyDescent="0.3">
      <c r="A928">
        <v>1926</v>
      </c>
      <c r="B928" t="s">
        <v>9</v>
      </c>
      <c r="C928" t="s">
        <v>12</v>
      </c>
      <c r="D928">
        <v>18041.53</v>
      </c>
      <c r="E928" t="s">
        <v>627</v>
      </c>
    </row>
    <row r="929" spans="1:5" x14ac:dyDescent="0.3">
      <c r="A929">
        <v>1927</v>
      </c>
      <c r="B929" t="s">
        <v>9</v>
      </c>
      <c r="C929" t="s">
        <v>13</v>
      </c>
      <c r="D929">
        <v>19282.07</v>
      </c>
      <c r="E929" t="s">
        <v>92</v>
      </c>
    </row>
    <row r="930" spans="1:5" x14ac:dyDescent="0.3">
      <c r="A930">
        <v>1928</v>
      </c>
      <c r="B930" t="s">
        <v>9</v>
      </c>
      <c r="C930" t="s">
        <v>12</v>
      </c>
      <c r="D930">
        <v>2144.67</v>
      </c>
      <c r="E930" t="s">
        <v>628</v>
      </c>
    </row>
    <row r="931" spans="1:5" x14ac:dyDescent="0.3">
      <c r="A931">
        <v>1929</v>
      </c>
      <c r="B931" t="s">
        <v>6</v>
      </c>
      <c r="C931" t="s">
        <v>13</v>
      </c>
      <c r="D931">
        <v>52496.98</v>
      </c>
      <c r="E931" t="s">
        <v>629</v>
      </c>
    </row>
    <row r="932" spans="1:5" x14ac:dyDescent="0.3">
      <c r="A932">
        <v>1930</v>
      </c>
      <c r="B932" t="s">
        <v>6</v>
      </c>
      <c r="C932" t="s">
        <v>10</v>
      </c>
      <c r="D932">
        <v>35106.25</v>
      </c>
      <c r="E932" t="s">
        <v>333</v>
      </c>
    </row>
    <row r="933" spans="1:5" x14ac:dyDescent="0.3">
      <c r="A933">
        <v>1931</v>
      </c>
      <c r="B933" t="s">
        <v>9</v>
      </c>
      <c r="C933" t="s">
        <v>10</v>
      </c>
      <c r="D933">
        <v>17809.88</v>
      </c>
      <c r="E933" t="s">
        <v>396</v>
      </c>
    </row>
    <row r="934" spans="1:5" x14ac:dyDescent="0.3">
      <c r="A934">
        <v>1932</v>
      </c>
      <c r="B934" t="s">
        <v>7</v>
      </c>
      <c r="C934" t="s">
        <v>12</v>
      </c>
      <c r="D934">
        <v>13147.35</v>
      </c>
      <c r="E934" t="s">
        <v>630</v>
      </c>
    </row>
    <row r="935" spans="1:5" x14ac:dyDescent="0.3">
      <c r="A935">
        <v>1933</v>
      </c>
      <c r="B935" t="s">
        <v>7</v>
      </c>
      <c r="C935" t="s">
        <v>10</v>
      </c>
      <c r="D935">
        <v>31089.119999999999</v>
      </c>
      <c r="E935" t="s">
        <v>631</v>
      </c>
    </row>
    <row r="936" spans="1:5" x14ac:dyDescent="0.3">
      <c r="A936">
        <v>1934</v>
      </c>
      <c r="B936" t="s">
        <v>8</v>
      </c>
      <c r="C936" t="s">
        <v>11</v>
      </c>
      <c r="D936">
        <v>7808.77</v>
      </c>
      <c r="E936" t="s">
        <v>557</v>
      </c>
    </row>
    <row r="937" spans="1:5" x14ac:dyDescent="0.3">
      <c r="A937">
        <v>1935</v>
      </c>
      <c r="B937" t="s">
        <v>6</v>
      </c>
      <c r="D937">
        <v>16488.11</v>
      </c>
      <c r="E937" t="s">
        <v>67</v>
      </c>
    </row>
    <row r="938" spans="1:5" x14ac:dyDescent="0.3">
      <c r="A938">
        <v>1936</v>
      </c>
      <c r="B938" t="s">
        <v>7</v>
      </c>
      <c r="C938" t="s">
        <v>13</v>
      </c>
      <c r="D938">
        <v>58693.37</v>
      </c>
      <c r="E938" t="s">
        <v>632</v>
      </c>
    </row>
    <row r="939" spans="1:5" x14ac:dyDescent="0.3">
      <c r="A939">
        <v>1937</v>
      </c>
      <c r="B939" t="s">
        <v>5</v>
      </c>
      <c r="C939" t="s">
        <v>12</v>
      </c>
      <c r="D939">
        <v>6833.53</v>
      </c>
      <c r="E939" t="s">
        <v>633</v>
      </c>
    </row>
    <row r="940" spans="1:5" x14ac:dyDescent="0.3">
      <c r="A940">
        <v>1938</v>
      </c>
      <c r="B940" t="s">
        <v>8</v>
      </c>
      <c r="C940" t="s">
        <v>12</v>
      </c>
      <c r="E940" t="s">
        <v>634</v>
      </c>
    </row>
    <row r="941" spans="1:5" x14ac:dyDescent="0.3">
      <c r="A941">
        <v>1939</v>
      </c>
      <c r="B941" t="s">
        <v>6</v>
      </c>
      <c r="C941" t="s">
        <v>11</v>
      </c>
      <c r="D941">
        <v>10376.56</v>
      </c>
      <c r="E941" t="s">
        <v>475</v>
      </c>
    </row>
    <row r="942" spans="1:5" x14ac:dyDescent="0.3">
      <c r="A942">
        <v>1940</v>
      </c>
      <c r="B942" t="s">
        <v>7</v>
      </c>
      <c r="C942" t="s">
        <v>13</v>
      </c>
      <c r="D942">
        <v>48906.1</v>
      </c>
      <c r="E942" t="s">
        <v>635</v>
      </c>
    </row>
    <row r="943" spans="1:5" x14ac:dyDescent="0.3">
      <c r="A943">
        <v>1941</v>
      </c>
      <c r="B943" t="s">
        <v>8</v>
      </c>
      <c r="C943" t="s">
        <v>11</v>
      </c>
      <c r="D943">
        <v>42942.77</v>
      </c>
      <c r="E943" t="s">
        <v>340</v>
      </c>
    </row>
    <row r="944" spans="1:5" x14ac:dyDescent="0.3">
      <c r="A944">
        <v>1942</v>
      </c>
      <c r="B944" t="s">
        <v>6</v>
      </c>
      <c r="C944" t="s">
        <v>10</v>
      </c>
      <c r="E944" t="s">
        <v>66</v>
      </c>
    </row>
    <row r="945" spans="1:5" x14ac:dyDescent="0.3">
      <c r="A945">
        <v>1943</v>
      </c>
      <c r="B945" t="s">
        <v>7</v>
      </c>
      <c r="C945" t="s">
        <v>10</v>
      </c>
      <c r="D945">
        <v>19823.59</v>
      </c>
      <c r="E945" t="s">
        <v>212</v>
      </c>
    </row>
    <row r="946" spans="1:5" x14ac:dyDescent="0.3">
      <c r="A946">
        <v>1944</v>
      </c>
      <c r="B946" t="s">
        <v>9</v>
      </c>
      <c r="C946" t="s">
        <v>10</v>
      </c>
      <c r="D946">
        <v>39967.71</v>
      </c>
      <c r="E946" t="s">
        <v>636</v>
      </c>
    </row>
    <row r="947" spans="1:5" x14ac:dyDescent="0.3">
      <c r="A947">
        <v>1945</v>
      </c>
      <c r="B947" t="s">
        <v>8</v>
      </c>
      <c r="C947" t="s">
        <v>12</v>
      </c>
      <c r="D947">
        <v>18258.39</v>
      </c>
      <c r="E947" t="s">
        <v>190</v>
      </c>
    </row>
    <row r="948" spans="1:5" x14ac:dyDescent="0.3">
      <c r="A948">
        <v>1946</v>
      </c>
      <c r="C948" t="s">
        <v>10</v>
      </c>
      <c r="D948">
        <v>56154.5</v>
      </c>
      <c r="E948" t="s">
        <v>598</v>
      </c>
    </row>
    <row r="949" spans="1:5" x14ac:dyDescent="0.3">
      <c r="A949">
        <v>1947</v>
      </c>
      <c r="C949" t="s">
        <v>10</v>
      </c>
      <c r="D949">
        <v>51422.52</v>
      </c>
      <c r="E949" t="s">
        <v>637</v>
      </c>
    </row>
    <row r="950" spans="1:5" x14ac:dyDescent="0.3">
      <c r="A950">
        <v>1948</v>
      </c>
      <c r="B950" t="s">
        <v>6</v>
      </c>
      <c r="C950" t="s">
        <v>10</v>
      </c>
      <c r="D950">
        <v>40355.17</v>
      </c>
      <c r="E950" t="s">
        <v>638</v>
      </c>
    </row>
    <row r="951" spans="1:5" x14ac:dyDescent="0.3">
      <c r="A951">
        <v>1949</v>
      </c>
      <c r="B951" t="s">
        <v>5</v>
      </c>
      <c r="C951" t="s">
        <v>10</v>
      </c>
      <c r="D951">
        <v>41711.519999999997</v>
      </c>
      <c r="E951" t="s">
        <v>639</v>
      </c>
    </row>
    <row r="952" spans="1:5" x14ac:dyDescent="0.3">
      <c r="A952">
        <v>1950</v>
      </c>
      <c r="B952" t="s">
        <v>5</v>
      </c>
      <c r="C952" t="s">
        <v>11</v>
      </c>
      <c r="E952" t="s">
        <v>169</v>
      </c>
    </row>
    <row r="953" spans="1:5" x14ac:dyDescent="0.3">
      <c r="A953">
        <v>1951</v>
      </c>
      <c r="B953" t="s">
        <v>5</v>
      </c>
      <c r="C953" t="s">
        <v>13</v>
      </c>
      <c r="D953">
        <v>5633.64</v>
      </c>
      <c r="E953" t="s">
        <v>640</v>
      </c>
    </row>
    <row r="954" spans="1:5" x14ac:dyDescent="0.3">
      <c r="A954">
        <v>1952</v>
      </c>
      <c r="B954" t="s">
        <v>7</v>
      </c>
      <c r="C954" t="s">
        <v>12</v>
      </c>
      <c r="D954">
        <v>24706.99</v>
      </c>
      <c r="E954" t="s">
        <v>267</v>
      </c>
    </row>
    <row r="955" spans="1:5" x14ac:dyDescent="0.3">
      <c r="A955">
        <v>1953</v>
      </c>
      <c r="B955" t="s">
        <v>8</v>
      </c>
      <c r="C955" t="s">
        <v>10</v>
      </c>
      <c r="D955">
        <v>17773.009999999998</v>
      </c>
      <c r="E955" t="s">
        <v>448</v>
      </c>
    </row>
    <row r="956" spans="1:5" x14ac:dyDescent="0.3">
      <c r="A956">
        <v>1954</v>
      </c>
      <c r="B956" t="s">
        <v>6</v>
      </c>
      <c r="C956" t="s">
        <v>13</v>
      </c>
      <c r="D956">
        <v>51914.879999999997</v>
      </c>
      <c r="E956" t="s">
        <v>463</v>
      </c>
    </row>
    <row r="957" spans="1:5" x14ac:dyDescent="0.3">
      <c r="A957">
        <v>1955</v>
      </c>
      <c r="B957" t="s">
        <v>8</v>
      </c>
      <c r="C957" t="s">
        <v>11</v>
      </c>
      <c r="D957">
        <v>44041.760000000002</v>
      </c>
      <c r="E957" t="s">
        <v>641</v>
      </c>
    </row>
    <row r="958" spans="1:5" x14ac:dyDescent="0.3">
      <c r="A958">
        <v>1956</v>
      </c>
      <c r="B958" t="s">
        <v>6</v>
      </c>
      <c r="C958" t="s">
        <v>10</v>
      </c>
      <c r="D958">
        <v>17094.84</v>
      </c>
      <c r="E958" t="s">
        <v>108</v>
      </c>
    </row>
    <row r="959" spans="1:5" x14ac:dyDescent="0.3">
      <c r="A959">
        <v>1957</v>
      </c>
      <c r="B959" t="s">
        <v>6</v>
      </c>
      <c r="C959" t="s">
        <v>13</v>
      </c>
      <c r="D959">
        <v>56655.3</v>
      </c>
      <c r="E959" t="s">
        <v>642</v>
      </c>
    </row>
    <row r="960" spans="1:5" x14ac:dyDescent="0.3">
      <c r="A960">
        <v>1958</v>
      </c>
      <c r="B960" t="s">
        <v>6</v>
      </c>
      <c r="C960" t="s">
        <v>10</v>
      </c>
      <c r="D960">
        <v>23897.83</v>
      </c>
      <c r="E960" t="s">
        <v>419</v>
      </c>
    </row>
    <row r="961" spans="1:5" x14ac:dyDescent="0.3">
      <c r="A961">
        <v>1087</v>
      </c>
      <c r="C961" t="s">
        <v>13</v>
      </c>
      <c r="D961">
        <v>48530.89</v>
      </c>
      <c r="E961" t="s">
        <v>193</v>
      </c>
    </row>
    <row r="962" spans="1:5" x14ac:dyDescent="0.3">
      <c r="A962">
        <v>1960</v>
      </c>
      <c r="B962" t="s">
        <v>6</v>
      </c>
      <c r="C962" t="s">
        <v>13</v>
      </c>
      <c r="D962">
        <v>26533.26</v>
      </c>
      <c r="E962" t="s">
        <v>643</v>
      </c>
    </row>
    <row r="963" spans="1:5" x14ac:dyDescent="0.3">
      <c r="A963">
        <v>1961</v>
      </c>
      <c r="B963" t="s">
        <v>5</v>
      </c>
      <c r="C963" t="s">
        <v>12</v>
      </c>
      <c r="D963">
        <v>6365.19</v>
      </c>
      <c r="E963" t="s">
        <v>644</v>
      </c>
    </row>
    <row r="964" spans="1:5" x14ac:dyDescent="0.3">
      <c r="A964">
        <v>1962</v>
      </c>
      <c r="B964" t="s">
        <v>6</v>
      </c>
      <c r="C964" t="s">
        <v>13</v>
      </c>
      <c r="D964">
        <v>39599.57</v>
      </c>
      <c r="E964" t="s">
        <v>645</v>
      </c>
    </row>
    <row r="965" spans="1:5" x14ac:dyDescent="0.3">
      <c r="A965">
        <v>1963</v>
      </c>
      <c r="B965" t="s">
        <v>9</v>
      </c>
      <c r="C965" t="s">
        <v>12</v>
      </c>
      <c r="D965">
        <v>4952.47</v>
      </c>
      <c r="E965" t="s">
        <v>646</v>
      </c>
    </row>
    <row r="966" spans="1:5" x14ac:dyDescent="0.3">
      <c r="A966">
        <v>1964</v>
      </c>
      <c r="B966" t="s">
        <v>7</v>
      </c>
      <c r="C966" t="s">
        <v>12</v>
      </c>
      <c r="D966">
        <v>41615.68</v>
      </c>
      <c r="E966" t="s">
        <v>647</v>
      </c>
    </row>
    <row r="967" spans="1:5" x14ac:dyDescent="0.3">
      <c r="A967">
        <v>1965</v>
      </c>
      <c r="B967" t="s">
        <v>9</v>
      </c>
      <c r="C967" t="s">
        <v>11</v>
      </c>
      <c r="D967">
        <v>54540.33</v>
      </c>
      <c r="E967" t="s">
        <v>625</v>
      </c>
    </row>
    <row r="968" spans="1:5" x14ac:dyDescent="0.3">
      <c r="A968">
        <v>1966</v>
      </c>
      <c r="B968" t="s">
        <v>7</v>
      </c>
      <c r="C968" t="s">
        <v>11</v>
      </c>
      <c r="D968">
        <v>29243.4</v>
      </c>
      <c r="E968" t="s">
        <v>648</v>
      </c>
    </row>
    <row r="969" spans="1:5" x14ac:dyDescent="0.3">
      <c r="A969">
        <v>1967</v>
      </c>
      <c r="B969" t="s">
        <v>7</v>
      </c>
      <c r="C969" t="s">
        <v>10</v>
      </c>
      <c r="E969" t="s">
        <v>649</v>
      </c>
    </row>
    <row r="970" spans="1:5" x14ac:dyDescent="0.3">
      <c r="A970">
        <v>1968</v>
      </c>
      <c r="B970" t="s">
        <v>6</v>
      </c>
      <c r="C970" t="s">
        <v>13</v>
      </c>
      <c r="D970">
        <v>46705.7</v>
      </c>
      <c r="E970" t="s">
        <v>650</v>
      </c>
    </row>
    <row r="971" spans="1:5" x14ac:dyDescent="0.3">
      <c r="A971">
        <v>1969</v>
      </c>
      <c r="B971" t="s">
        <v>9</v>
      </c>
      <c r="C971" t="s">
        <v>13</v>
      </c>
      <c r="D971">
        <v>5551.52</v>
      </c>
      <c r="E971" t="s">
        <v>47</v>
      </c>
    </row>
    <row r="972" spans="1:5" x14ac:dyDescent="0.3">
      <c r="A972">
        <v>1970</v>
      </c>
      <c r="B972" t="s">
        <v>8</v>
      </c>
      <c r="C972" t="s">
        <v>10</v>
      </c>
      <c r="D972">
        <v>31581.11</v>
      </c>
      <c r="E972" t="s">
        <v>346</v>
      </c>
    </row>
    <row r="973" spans="1:5" x14ac:dyDescent="0.3">
      <c r="A973">
        <v>1971</v>
      </c>
      <c r="B973" t="s">
        <v>5</v>
      </c>
      <c r="C973" t="s">
        <v>11</v>
      </c>
      <c r="D973">
        <v>26871.97</v>
      </c>
      <c r="E973" t="s">
        <v>651</v>
      </c>
    </row>
    <row r="974" spans="1:5" x14ac:dyDescent="0.3">
      <c r="A974">
        <v>1972</v>
      </c>
      <c r="B974" t="s">
        <v>5</v>
      </c>
      <c r="C974" t="s">
        <v>13</v>
      </c>
      <c r="D974">
        <v>21429.7</v>
      </c>
      <c r="E974" t="s">
        <v>652</v>
      </c>
    </row>
    <row r="975" spans="1:5" x14ac:dyDescent="0.3">
      <c r="A975">
        <v>1973</v>
      </c>
      <c r="B975" t="s">
        <v>8</v>
      </c>
      <c r="C975" t="s">
        <v>13</v>
      </c>
      <c r="D975">
        <v>30585.05</v>
      </c>
      <c r="E975" t="s">
        <v>298</v>
      </c>
    </row>
    <row r="976" spans="1:5" x14ac:dyDescent="0.3">
      <c r="A976">
        <v>1974</v>
      </c>
      <c r="B976" t="s">
        <v>6</v>
      </c>
      <c r="C976" t="s">
        <v>10</v>
      </c>
      <c r="D976">
        <v>11371.25</v>
      </c>
      <c r="E976" t="s">
        <v>138</v>
      </c>
    </row>
    <row r="977" spans="1:5" x14ac:dyDescent="0.3">
      <c r="A977">
        <v>1975</v>
      </c>
      <c r="B977" t="s">
        <v>9</v>
      </c>
      <c r="C977" t="s">
        <v>13</v>
      </c>
      <c r="D977">
        <v>48951.24</v>
      </c>
      <c r="E977" t="s">
        <v>653</v>
      </c>
    </row>
    <row r="978" spans="1:5" x14ac:dyDescent="0.3">
      <c r="A978">
        <v>1976</v>
      </c>
      <c r="B978" t="s">
        <v>5</v>
      </c>
      <c r="C978" t="s">
        <v>13</v>
      </c>
      <c r="D978">
        <v>8995.5</v>
      </c>
      <c r="E978" t="s">
        <v>654</v>
      </c>
    </row>
    <row r="979" spans="1:5" x14ac:dyDescent="0.3">
      <c r="A979">
        <v>1977</v>
      </c>
      <c r="B979" t="s">
        <v>5</v>
      </c>
      <c r="C979" t="s">
        <v>13</v>
      </c>
      <c r="D979">
        <v>45858.39</v>
      </c>
      <c r="E979" t="s">
        <v>435</v>
      </c>
    </row>
    <row r="980" spans="1:5" x14ac:dyDescent="0.3">
      <c r="A980">
        <v>1978</v>
      </c>
      <c r="B980" t="s">
        <v>7</v>
      </c>
      <c r="C980" t="s">
        <v>11</v>
      </c>
      <c r="D980">
        <v>37087.68</v>
      </c>
      <c r="E980" t="s">
        <v>271</v>
      </c>
    </row>
    <row r="981" spans="1:5" x14ac:dyDescent="0.3">
      <c r="A981">
        <v>1979</v>
      </c>
      <c r="C981" t="s">
        <v>11</v>
      </c>
      <c r="D981">
        <v>26882.400000000001</v>
      </c>
      <c r="E981" t="s">
        <v>157</v>
      </c>
    </row>
    <row r="982" spans="1:5" x14ac:dyDescent="0.3">
      <c r="A982">
        <v>1980</v>
      </c>
      <c r="B982" t="s">
        <v>9</v>
      </c>
      <c r="C982" t="s">
        <v>12</v>
      </c>
      <c r="D982">
        <v>34133.480000000003</v>
      </c>
      <c r="E982" t="s">
        <v>153</v>
      </c>
    </row>
    <row r="983" spans="1:5" x14ac:dyDescent="0.3">
      <c r="A983">
        <v>1981</v>
      </c>
      <c r="B983" t="s">
        <v>5</v>
      </c>
      <c r="C983" t="s">
        <v>11</v>
      </c>
      <c r="D983">
        <v>10710.11</v>
      </c>
      <c r="E983" t="s">
        <v>655</v>
      </c>
    </row>
    <row r="984" spans="1:5" x14ac:dyDescent="0.3">
      <c r="A984">
        <v>1982</v>
      </c>
      <c r="B984" t="s">
        <v>6</v>
      </c>
      <c r="C984" t="s">
        <v>10</v>
      </c>
      <c r="D984">
        <v>3776.61</v>
      </c>
      <c r="E984" t="s">
        <v>363</v>
      </c>
    </row>
    <row r="985" spans="1:5" x14ac:dyDescent="0.3">
      <c r="A985">
        <v>1983</v>
      </c>
      <c r="B985" t="s">
        <v>7</v>
      </c>
      <c r="C985" t="s">
        <v>11</v>
      </c>
      <c r="D985">
        <v>55835.05</v>
      </c>
      <c r="E985" t="s">
        <v>656</v>
      </c>
    </row>
    <row r="986" spans="1:5" x14ac:dyDescent="0.3">
      <c r="A986">
        <v>1984</v>
      </c>
      <c r="B986" t="s">
        <v>9</v>
      </c>
      <c r="C986" t="s">
        <v>13</v>
      </c>
      <c r="D986">
        <v>20220.990000000002</v>
      </c>
      <c r="E986" t="s">
        <v>376</v>
      </c>
    </row>
    <row r="987" spans="1:5" x14ac:dyDescent="0.3">
      <c r="A987">
        <v>1985</v>
      </c>
      <c r="B987" t="s">
        <v>8</v>
      </c>
      <c r="D987">
        <v>27292.69</v>
      </c>
      <c r="E987" t="s">
        <v>546</v>
      </c>
    </row>
    <row r="988" spans="1:5" x14ac:dyDescent="0.3">
      <c r="A988">
        <v>1986</v>
      </c>
      <c r="B988" t="s">
        <v>8</v>
      </c>
      <c r="D988">
        <v>39932.32</v>
      </c>
      <c r="E988" t="s">
        <v>380</v>
      </c>
    </row>
    <row r="989" spans="1:5" x14ac:dyDescent="0.3">
      <c r="A989">
        <v>1987</v>
      </c>
      <c r="B989" t="s">
        <v>5</v>
      </c>
      <c r="C989" t="s">
        <v>10</v>
      </c>
      <c r="D989">
        <v>32122.26</v>
      </c>
      <c r="E989" t="s">
        <v>657</v>
      </c>
    </row>
    <row r="990" spans="1:5" x14ac:dyDescent="0.3">
      <c r="A990">
        <v>1988</v>
      </c>
      <c r="B990" t="s">
        <v>7</v>
      </c>
      <c r="C990" t="s">
        <v>13</v>
      </c>
      <c r="D990">
        <v>5601.64</v>
      </c>
      <c r="E990" t="s">
        <v>658</v>
      </c>
    </row>
    <row r="991" spans="1:5" x14ac:dyDescent="0.3">
      <c r="A991">
        <v>1989</v>
      </c>
      <c r="B991" t="s">
        <v>8</v>
      </c>
      <c r="C991" t="s">
        <v>12</v>
      </c>
      <c r="D991">
        <v>21594.09</v>
      </c>
      <c r="E991" t="s">
        <v>563</v>
      </c>
    </row>
    <row r="992" spans="1:5" x14ac:dyDescent="0.3">
      <c r="A992">
        <v>1990</v>
      </c>
      <c r="B992" t="s">
        <v>6</v>
      </c>
      <c r="C992" t="s">
        <v>13</v>
      </c>
      <c r="D992">
        <v>16144.15</v>
      </c>
      <c r="E992" t="s">
        <v>62</v>
      </c>
    </row>
    <row r="993" spans="1:5" x14ac:dyDescent="0.3">
      <c r="A993">
        <v>1991</v>
      </c>
      <c r="C993" t="s">
        <v>10</v>
      </c>
      <c r="D993">
        <v>18893.580000000002</v>
      </c>
      <c r="E993" t="s">
        <v>549</v>
      </c>
    </row>
    <row r="994" spans="1:5" x14ac:dyDescent="0.3">
      <c r="A994">
        <v>1992</v>
      </c>
      <c r="B994" t="s">
        <v>7</v>
      </c>
      <c r="C994" t="s">
        <v>10</v>
      </c>
      <c r="D994">
        <v>19923.25</v>
      </c>
      <c r="E994" t="s">
        <v>659</v>
      </c>
    </row>
    <row r="995" spans="1:5" x14ac:dyDescent="0.3">
      <c r="A995">
        <v>1993</v>
      </c>
      <c r="B995" t="s">
        <v>5</v>
      </c>
      <c r="C995" t="s">
        <v>13</v>
      </c>
      <c r="D995">
        <v>12433.56</v>
      </c>
      <c r="E995" t="s">
        <v>656</v>
      </c>
    </row>
    <row r="996" spans="1:5" x14ac:dyDescent="0.3">
      <c r="A996">
        <v>1994</v>
      </c>
      <c r="B996" t="s">
        <v>7</v>
      </c>
      <c r="C996" t="s">
        <v>13</v>
      </c>
      <c r="D996">
        <v>4318.55</v>
      </c>
      <c r="E996" t="s">
        <v>660</v>
      </c>
    </row>
    <row r="997" spans="1:5" x14ac:dyDescent="0.3">
      <c r="A997">
        <v>1995</v>
      </c>
      <c r="B997" t="s">
        <v>7</v>
      </c>
      <c r="C997" t="s">
        <v>13</v>
      </c>
      <c r="D997">
        <v>56698.44</v>
      </c>
      <c r="E997" t="s">
        <v>343</v>
      </c>
    </row>
    <row r="998" spans="1:5" x14ac:dyDescent="0.3">
      <c r="A998">
        <v>1996</v>
      </c>
      <c r="B998" t="s">
        <v>9</v>
      </c>
      <c r="C998" t="s">
        <v>12</v>
      </c>
      <c r="D998">
        <v>40856.410000000003</v>
      </c>
      <c r="E998" t="s">
        <v>661</v>
      </c>
    </row>
    <row r="999" spans="1:5" x14ac:dyDescent="0.3">
      <c r="A999">
        <v>1111</v>
      </c>
      <c r="B999" t="s">
        <v>6</v>
      </c>
      <c r="C999" t="s">
        <v>10</v>
      </c>
      <c r="D999">
        <v>41048.51</v>
      </c>
      <c r="E999" t="s">
        <v>662</v>
      </c>
    </row>
    <row r="1000" spans="1:5" x14ac:dyDescent="0.3">
      <c r="A1000">
        <v>1998</v>
      </c>
      <c r="B1000" t="s">
        <v>9</v>
      </c>
      <c r="C1000" t="s">
        <v>12</v>
      </c>
      <c r="D1000">
        <v>51126.41</v>
      </c>
      <c r="E1000" t="s">
        <v>663</v>
      </c>
    </row>
    <row r="1001" spans="1:5" x14ac:dyDescent="0.3">
      <c r="A1001">
        <v>1999</v>
      </c>
      <c r="B1001" t="s">
        <v>7</v>
      </c>
      <c r="C1001" t="s">
        <v>10</v>
      </c>
      <c r="D1001">
        <v>38362.870000000003</v>
      </c>
      <c r="E1001" t="s">
        <v>291</v>
      </c>
    </row>
    <row r="1002" spans="1:5" x14ac:dyDescent="0.3">
      <c r="A1002">
        <v>2000</v>
      </c>
      <c r="B1002" t="s">
        <v>8</v>
      </c>
      <c r="C1002" t="s">
        <v>13</v>
      </c>
      <c r="D1002">
        <v>6264.11</v>
      </c>
      <c r="E1002" t="s">
        <v>432</v>
      </c>
    </row>
    <row r="1003" spans="1:5" x14ac:dyDescent="0.3">
      <c r="A1003">
        <v>2001</v>
      </c>
      <c r="B1003" t="s">
        <v>7</v>
      </c>
      <c r="C1003" t="s">
        <v>12</v>
      </c>
      <c r="D1003">
        <v>6589.6</v>
      </c>
      <c r="E1003" t="s">
        <v>349</v>
      </c>
    </row>
    <row r="1004" spans="1:5" x14ac:dyDescent="0.3">
      <c r="A1004">
        <v>2002</v>
      </c>
      <c r="B1004" t="s">
        <v>8</v>
      </c>
      <c r="C1004" t="s">
        <v>13</v>
      </c>
      <c r="D1004">
        <v>35767.86</v>
      </c>
      <c r="E1004" t="s">
        <v>664</v>
      </c>
    </row>
    <row r="1005" spans="1:5" x14ac:dyDescent="0.3">
      <c r="A1005">
        <v>2003</v>
      </c>
      <c r="B1005" t="s">
        <v>7</v>
      </c>
      <c r="C1005" t="s">
        <v>11</v>
      </c>
      <c r="D1005">
        <v>15744.2</v>
      </c>
      <c r="E1005" t="s">
        <v>178</v>
      </c>
    </row>
    <row r="1006" spans="1:5" x14ac:dyDescent="0.3">
      <c r="A1006">
        <v>2004</v>
      </c>
      <c r="B1006" t="s">
        <v>6</v>
      </c>
      <c r="C1006" t="s">
        <v>12</v>
      </c>
      <c r="D1006">
        <v>30245.759999999998</v>
      </c>
      <c r="E1006" t="s">
        <v>665</v>
      </c>
    </row>
    <row r="1007" spans="1:5" x14ac:dyDescent="0.3">
      <c r="A1007">
        <v>2005</v>
      </c>
      <c r="B1007" t="s">
        <v>8</v>
      </c>
      <c r="C1007" t="s">
        <v>12</v>
      </c>
      <c r="D1007">
        <v>49682.96</v>
      </c>
      <c r="E1007" t="s">
        <v>666</v>
      </c>
    </row>
    <row r="1008" spans="1:5" x14ac:dyDescent="0.3">
      <c r="A1008">
        <v>2006</v>
      </c>
      <c r="B1008" t="s">
        <v>9</v>
      </c>
      <c r="C1008" t="s">
        <v>10</v>
      </c>
      <c r="D1008">
        <v>27187.5</v>
      </c>
      <c r="E1008" t="s">
        <v>667</v>
      </c>
    </row>
    <row r="1009" spans="1:5" x14ac:dyDescent="0.3">
      <c r="A1009">
        <v>2007</v>
      </c>
      <c r="B1009" t="s">
        <v>8</v>
      </c>
      <c r="C1009" t="s">
        <v>12</v>
      </c>
      <c r="D1009">
        <v>40160.33</v>
      </c>
      <c r="E1009" t="s">
        <v>116</v>
      </c>
    </row>
    <row r="1010" spans="1:5" x14ac:dyDescent="0.3">
      <c r="A1010">
        <v>2008</v>
      </c>
      <c r="B1010" t="s">
        <v>5</v>
      </c>
      <c r="C1010" t="s">
        <v>12</v>
      </c>
      <c r="D1010">
        <v>31706.91</v>
      </c>
      <c r="E1010" t="s">
        <v>515</v>
      </c>
    </row>
    <row r="1011" spans="1:5" x14ac:dyDescent="0.3">
      <c r="A1011">
        <v>2009</v>
      </c>
      <c r="B1011" t="s">
        <v>7</v>
      </c>
      <c r="C1011" t="s">
        <v>11</v>
      </c>
      <c r="D1011">
        <v>45463</v>
      </c>
      <c r="E1011" t="s">
        <v>537</v>
      </c>
    </row>
    <row r="1012" spans="1:5" x14ac:dyDescent="0.3">
      <c r="A1012">
        <v>2010</v>
      </c>
      <c r="B1012" t="s">
        <v>6</v>
      </c>
      <c r="C1012" t="s">
        <v>12</v>
      </c>
      <c r="D1012">
        <v>26791.74</v>
      </c>
      <c r="E1012" t="s">
        <v>226</v>
      </c>
    </row>
    <row r="1013" spans="1:5" x14ac:dyDescent="0.3">
      <c r="A1013">
        <v>2011</v>
      </c>
      <c r="B1013" t="s">
        <v>8</v>
      </c>
      <c r="C1013" t="s">
        <v>11</v>
      </c>
      <c r="D1013">
        <v>19908.73</v>
      </c>
      <c r="E1013" t="s">
        <v>70</v>
      </c>
    </row>
    <row r="1014" spans="1:5" x14ac:dyDescent="0.3">
      <c r="A1014">
        <v>2012</v>
      </c>
      <c r="B1014" t="s">
        <v>8</v>
      </c>
      <c r="C1014" t="s">
        <v>13</v>
      </c>
      <c r="D1014">
        <v>50360.59</v>
      </c>
      <c r="E1014" t="s">
        <v>668</v>
      </c>
    </row>
    <row r="1015" spans="1:5" x14ac:dyDescent="0.3">
      <c r="A1015">
        <v>2013</v>
      </c>
      <c r="B1015" t="s">
        <v>9</v>
      </c>
      <c r="C1015" t="s">
        <v>13</v>
      </c>
      <c r="E1015" t="s">
        <v>37</v>
      </c>
    </row>
    <row r="1016" spans="1:5" x14ac:dyDescent="0.3">
      <c r="A1016">
        <v>2014</v>
      </c>
      <c r="C1016" t="s">
        <v>11</v>
      </c>
      <c r="D1016">
        <v>21235.02</v>
      </c>
      <c r="E1016" t="s">
        <v>228</v>
      </c>
    </row>
    <row r="1017" spans="1:5" x14ac:dyDescent="0.3">
      <c r="A1017">
        <v>2015</v>
      </c>
      <c r="B1017" t="s">
        <v>7</v>
      </c>
      <c r="C1017" t="s">
        <v>13</v>
      </c>
      <c r="D1017">
        <v>56066.44</v>
      </c>
      <c r="E1017" t="s">
        <v>74</v>
      </c>
    </row>
    <row r="1018" spans="1:5" x14ac:dyDescent="0.3">
      <c r="A1018">
        <v>2016</v>
      </c>
      <c r="B1018" t="s">
        <v>9</v>
      </c>
      <c r="C1018" t="s">
        <v>10</v>
      </c>
      <c r="D1018">
        <v>51168.74</v>
      </c>
      <c r="E1018" t="s">
        <v>253</v>
      </c>
    </row>
    <row r="1019" spans="1:5" x14ac:dyDescent="0.3">
      <c r="A1019">
        <v>2017</v>
      </c>
      <c r="B1019" t="s">
        <v>9</v>
      </c>
      <c r="C1019" t="s">
        <v>10</v>
      </c>
      <c r="D1019">
        <v>56836.34</v>
      </c>
      <c r="E1019" t="s">
        <v>669</v>
      </c>
    </row>
    <row r="1020" spans="1:5" x14ac:dyDescent="0.3">
      <c r="A1020">
        <v>2018</v>
      </c>
      <c r="B1020" t="s">
        <v>7</v>
      </c>
      <c r="C1020" t="s">
        <v>12</v>
      </c>
      <c r="D1020">
        <v>30137.1</v>
      </c>
      <c r="E1020" t="s">
        <v>361</v>
      </c>
    </row>
    <row r="1021" spans="1:5" x14ac:dyDescent="0.3">
      <c r="A1021">
        <v>2019</v>
      </c>
      <c r="B1021" t="s">
        <v>9</v>
      </c>
      <c r="C1021" t="s">
        <v>12</v>
      </c>
      <c r="D1021">
        <v>47431.57</v>
      </c>
      <c r="E1021" t="s">
        <v>670</v>
      </c>
    </row>
    <row r="1022" spans="1:5" x14ac:dyDescent="0.3">
      <c r="A1022">
        <v>2020</v>
      </c>
      <c r="B1022" t="s">
        <v>9</v>
      </c>
      <c r="C1022" t="s">
        <v>10</v>
      </c>
      <c r="D1022">
        <v>43680.29</v>
      </c>
      <c r="E1022" t="s">
        <v>303</v>
      </c>
    </row>
    <row r="1023" spans="1:5" x14ac:dyDescent="0.3">
      <c r="A1023">
        <v>2021</v>
      </c>
      <c r="B1023" t="s">
        <v>7</v>
      </c>
      <c r="C1023" t="s">
        <v>10</v>
      </c>
      <c r="D1023">
        <v>30511.68</v>
      </c>
      <c r="E1023" t="s">
        <v>671</v>
      </c>
    </row>
    <row r="1024" spans="1:5" x14ac:dyDescent="0.3">
      <c r="A1024">
        <v>2022</v>
      </c>
      <c r="B1024" t="s">
        <v>7</v>
      </c>
      <c r="C1024" t="s">
        <v>13</v>
      </c>
      <c r="D1024">
        <v>35864.050000000003</v>
      </c>
      <c r="E1024" t="s">
        <v>76</v>
      </c>
    </row>
    <row r="1025" spans="1:5" x14ac:dyDescent="0.3">
      <c r="A1025">
        <v>2023</v>
      </c>
      <c r="B1025" t="s">
        <v>7</v>
      </c>
      <c r="C1025" t="s">
        <v>11</v>
      </c>
      <c r="D1025">
        <v>42532.26</v>
      </c>
      <c r="E1025" t="s">
        <v>640</v>
      </c>
    </row>
    <row r="1026" spans="1:5" x14ac:dyDescent="0.3">
      <c r="A1026">
        <v>2024</v>
      </c>
      <c r="B1026" t="s">
        <v>6</v>
      </c>
      <c r="C1026" t="s">
        <v>10</v>
      </c>
      <c r="D1026">
        <v>33011.949999999997</v>
      </c>
      <c r="E1026" t="s">
        <v>672</v>
      </c>
    </row>
    <row r="1027" spans="1:5" x14ac:dyDescent="0.3">
      <c r="A1027">
        <v>2025</v>
      </c>
      <c r="B1027" t="s">
        <v>8</v>
      </c>
      <c r="C1027" t="s">
        <v>11</v>
      </c>
      <c r="D1027">
        <v>30518</v>
      </c>
      <c r="E1027" t="s">
        <v>66</v>
      </c>
    </row>
    <row r="1028" spans="1:5" x14ac:dyDescent="0.3">
      <c r="A1028">
        <v>2026</v>
      </c>
      <c r="B1028" t="s">
        <v>6</v>
      </c>
      <c r="C1028" t="s">
        <v>12</v>
      </c>
      <c r="D1028">
        <v>37716.68</v>
      </c>
      <c r="E1028" t="s">
        <v>42</v>
      </c>
    </row>
    <row r="1029" spans="1:5" x14ac:dyDescent="0.3">
      <c r="A1029">
        <v>2027</v>
      </c>
      <c r="B1029" t="s">
        <v>6</v>
      </c>
      <c r="C1029" t="s">
        <v>11</v>
      </c>
      <c r="D1029">
        <v>42624.3</v>
      </c>
      <c r="E1029" t="s">
        <v>270</v>
      </c>
    </row>
    <row r="1030" spans="1:5" x14ac:dyDescent="0.3">
      <c r="A1030">
        <v>2028</v>
      </c>
      <c r="B1030" t="s">
        <v>6</v>
      </c>
      <c r="C1030" t="s">
        <v>10</v>
      </c>
      <c r="D1030">
        <v>44110.06</v>
      </c>
      <c r="E1030" t="s">
        <v>651</v>
      </c>
    </row>
    <row r="1031" spans="1:5" x14ac:dyDescent="0.3">
      <c r="A1031">
        <v>2029</v>
      </c>
      <c r="C1031" t="s">
        <v>11</v>
      </c>
      <c r="D1031">
        <v>53329.58</v>
      </c>
      <c r="E1031" t="s">
        <v>278</v>
      </c>
    </row>
    <row r="1032" spans="1:5" x14ac:dyDescent="0.3">
      <c r="A1032">
        <v>2030</v>
      </c>
      <c r="B1032" t="s">
        <v>9</v>
      </c>
      <c r="C1032" t="s">
        <v>11</v>
      </c>
      <c r="D1032">
        <v>35233.480000000003</v>
      </c>
      <c r="E1032" t="s">
        <v>623</v>
      </c>
    </row>
    <row r="1033" spans="1:5" x14ac:dyDescent="0.3">
      <c r="A1033">
        <v>2031</v>
      </c>
      <c r="B1033" t="s">
        <v>5</v>
      </c>
      <c r="C1033" t="s">
        <v>12</v>
      </c>
      <c r="D1033">
        <v>36548.17</v>
      </c>
      <c r="E1033" t="s">
        <v>628</v>
      </c>
    </row>
    <row r="1034" spans="1:5" x14ac:dyDescent="0.3">
      <c r="A1034">
        <v>2032</v>
      </c>
      <c r="C1034" t="s">
        <v>10</v>
      </c>
      <c r="D1034">
        <v>55650.52</v>
      </c>
      <c r="E1034" t="s">
        <v>573</v>
      </c>
    </row>
    <row r="1035" spans="1:5" x14ac:dyDescent="0.3">
      <c r="A1035">
        <v>2033</v>
      </c>
      <c r="B1035" t="s">
        <v>8</v>
      </c>
      <c r="C1035" t="s">
        <v>11</v>
      </c>
      <c r="D1035">
        <v>39385.78</v>
      </c>
      <c r="E1035" t="s">
        <v>673</v>
      </c>
    </row>
    <row r="1036" spans="1:5" x14ac:dyDescent="0.3">
      <c r="A1036">
        <v>2034</v>
      </c>
      <c r="B1036" t="s">
        <v>5</v>
      </c>
      <c r="C1036" t="s">
        <v>10</v>
      </c>
      <c r="D1036">
        <v>40373.72</v>
      </c>
      <c r="E1036" t="s">
        <v>674</v>
      </c>
    </row>
    <row r="1037" spans="1:5" x14ac:dyDescent="0.3">
      <c r="A1037">
        <v>2035</v>
      </c>
      <c r="B1037" t="s">
        <v>8</v>
      </c>
      <c r="C1037" t="s">
        <v>11</v>
      </c>
      <c r="D1037">
        <v>3729.45</v>
      </c>
      <c r="E1037" t="s">
        <v>504</v>
      </c>
    </row>
    <row r="1038" spans="1:5" x14ac:dyDescent="0.3">
      <c r="A1038">
        <v>2036</v>
      </c>
      <c r="B1038" t="s">
        <v>8</v>
      </c>
      <c r="C1038" t="s">
        <v>10</v>
      </c>
      <c r="D1038">
        <v>19855.78</v>
      </c>
      <c r="E1038" t="s">
        <v>675</v>
      </c>
    </row>
    <row r="1039" spans="1:5" x14ac:dyDescent="0.3">
      <c r="A1039">
        <v>2037</v>
      </c>
      <c r="B1039" t="s">
        <v>7</v>
      </c>
      <c r="C1039" t="s">
        <v>11</v>
      </c>
      <c r="D1039">
        <v>12201.31</v>
      </c>
      <c r="E1039" t="s">
        <v>168</v>
      </c>
    </row>
    <row r="1040" spans="1:5" x14ac:dyDescent="0.3">
      <c r="A1040">
        <v>2038</v>
      </c>
      <c r="B1040" t="s">
        <v>7</v>
      </c>
      <c r="C1040" t="s">
        <v>10</v>
      </c>
      <c r="D1040">
        <v>22093.29</v>
      </c>
      <c r="E1040" t="s">
        <v>658</v>
      </c>
    </row>
    <row r="1041" spans="1:5" x14ac:dyDescent="0.3">
      <c r="A1041">
        <v>2039</v>
      </c>
      <c r="B1041" t="s">
        <v>6</v>
      </c>
      <c r="C1041" t="s">
        <v>11</v>
      </c>
      <c r="D1041">
        <v>11302.04</v>
      </c>
      <c r="E1041" t="s">
        <v>453</v>
      </c>
    </row>
    <row r="1042" spans="1:5" x14ac:dyDescent="0.3">
      <c r="A1042">
        <v>2040</v>
      </c>
      <c r="B1042" t="s">
        <v>6</v>
      </c>
      <c r="C1042" t="s">
        <v>11</v>
      </c>
      <c r="D1042">
        <v>5340.24</v>
      </c>
      <c r="E1042" t="s">
        <v>676</v>
      </c>
    </row>
    <row r="1043" spans="1:5" x14ac:dyDescent="0.3">
      <c r="A1043">
        <v>2041</v>
      </c>
      <c r="B1043" t="s">
        <v>7</v>
      </c>
      <c r="C1043" t="s">
        <v>13</v>
      </c>
      <c r="D1043">
        <v>17064.849999999999</v>
      </c>
      <c r="E1043" t="s">
        <v>677</v>
      </c>
    </row>
    <row r="1044" spans="1:5" x14ac:dyDescent="0.3">
      <c r="A1044">
        <v>2042</v>
      </c>
      <c r="B1044" t="s">
        <v>5</v>
      </c>
      <c r="C1044" t="s">
        <v>12</v>
      </c>
      <c r="D1044">
        <v>56223.66</v>
      </c>
      <c r="E1044" t="s">
        <v>649</v>
      </c>
    </row>
    <row r="1045" spans="1:5" x14ac:dyDescent="0.3">
      <c r="A1045">
        <v>2043</v>
      </c>
      <c r="B1045" t="s">
        <v>7</v>
      </c>
      <c r="C1045" t="s">
        <v>13</v>
      </c>
      <c r="D1045">
        <v>39038.480000000003</v>
      </c>
      <c r="E1045" t="s">
        <v>678</v>
      </c>
    </row>
    <row r="1046" spans="1:5" x14ac:dyDescent="0.3">
      <c r="A1046">
        <v>2044</v>
      </c>
      <c r="C1046" t="s">
        <v>13</v>
      </c>
      <c r="E1046" t="s">
        <v>38</v>
      </c>
    </row>
    <row r="1047" spans="1:5" x14ac:dyDescent="0.3">
      <c r="A1047">
        <v>2045</v>
      </c>
      <c r="B1047" t="s">
        <v>8</v>
      </c>
      <c r="C1047" t="s">
        <v>10</v>
      </c>
      <c r="D1047">
        <v>57293.77</v>
      </c>
      <c r="E1047" t="s">
        <v>198</v>
      </c>
    </row>
    <row r="1048" spans="1:5" x14ac:dyDescent="0.3">
      <c r="A1048">
        <v>2046</v>
      </c>
      <c r="B1048" t="s">
        <v>8</v>
      </c>
      <c r="C1048" t="s">
        <v>13</v>
      </c>
      <c r="D1048">
        <v>7468.54</v>
      </c>
      <c r="E1048" t="s">
        <v>679</v>
      </c>
    </row>
    <row r="1049" spans="1:5" x14ac:dyDescent="0.3">
      <c r="A1049">
        <v>2047</v>
      </c>
      <c r="B1049" t="s">
        <v>6</v>
      </c>
      <c r="C1049" t="s">
        <v>10</v>
      </c>
      <c r="D1049">
        <v>11599.07</v>
      </c>
      <c r="E1049" t="s">
        <v>680</v>
      </c>
    </row>
    <row r="1050" spans="1:5" x14ac:dyDescent="0.3">
      <c r="A1050">
        <v>2048</v>
      </c>
      <c r="B1050" t="s">
        <v>6</v>
      </c>
      <c r="C1050" t="s">
        <v>11</v>
      </c>
      <c r="D1050">
        <v>13310.46</v>
      </c>
      <c r="E1050" t="s">
        <v>681</v>
      </c>
    </row>
    <row r="1051" spans="1:5" x14ac:dyDescent="0.3">
      <c r="A1051">
        <v>2049</v>
      </c>
      <c r="B1051" t="s">
        <v>5</v>
      </c>
      <c r="C1051" t="s">
        <v>13</v>
      </c>
      <c r="D1051">
        <v>23265.87</v>
      </c>
      <c r="E1051" t="s">
        <v>131</v>
      </c>
    </row>
    <row r="1052" spans="1:5" x14ac:dyDescent="0.3">
      <c r="A1052">
        <v>1208</v>
      </c>
      <c r="B1052" t="s">
        <v>9</v>
      </c>
      <c r="C1052" t="s">
        <v>13</v>
      </c>
      <c r="D1052">
        <v>49105.919999999998</v>
      </c>
      <c r="E1052" t="s">
        <v>682</v>
      </c>
    </row>
    <row r="1053" spans="1:5" x14ac:dyDescent="0.3">
      <c r="A1053">
        <v>2051</v>
      </c>
      <c r="B1053" t="s">
        <v>9</v>
      </c>
      <c r="C1053" t="s">
        <v>12</v>
      </c>
      <c r="D1053">
        <v>12590.04</v>
      </c>
      <c r="E1053" t="s">
        <v>567</v>
      </c>
    </row>
    <row r="1054" spans="1:5" x14ac:dyDescent="0.3">
      <c r="A1054">
        <v>2052</v>
      </c>
      <c r="B1054" t="s">
        <v>5</v>
      </c>
      <c r="C1054" t="s">
        <v>10</v>
      </c>
      <c r="D1054">
        <v>32142.21</v>
      </c>
      <c r="E1054" t="s">
        <v>668</v>
      </c>
    </row>
    <row r="1055" spans="1:5" x14ac:dyDescent="0.3">
      <c r="A1055">
        <v>2053</v>
      </c>
      <c r="B1055" t="s">
        <v>8</v>
      </c>
      <c r="C1055" t="s">
        <v>10</v>
      </c>
      <c r="D1055">
        <v>55500.84</v>
      </c>
      <c r="E1055" t="s">
        <v>246</v>
      </c>
    </row>
    <row r="1056" spans="1:5" x14ac:dyDescent="0.3">
      <c r="A1056">
        <v>2054</v>
      </c>
      <c r="B1056" t="s">
        <v>9</v>
      </c>
      <c r="C1056" t="s">
        <v>12</v>
      </c>
      <c r="D1056">
        <v>27874.6</v>
      </c>
      <c r="E1056" t="s">
        <v>350</v>
      </c>
    </row>
    <row r="1057" spans="1:5" x14ac:dyDescent="0.3">
      <c r="A1057">
        <v>2055</v>
      </c>
      <c r="B1057" t="s">
        <v>6</v>
      </c>
      <c r="C1057" t="s">
        <v>13</v>
      </c>
      <c r="D1057">
        <v>51293.39</v>
      </c>
      <c r="E1057" t="s">
        <v>631</v>
      </c>
    </row>
    <row r="1058" spans="1:5" x14ac:dyDescent="0.3">
      <c r="A1058">
        <v>2056</v>
      </c>
      <c r="B1058" t="s">
        <v>8</v>
      </c>
      <c r="C1058" t="s">
        <v>10</v>
      </c>
      <c r="D1058">
        <v>13001.37</v>
      </c>
      <c r="E1058" t="s">
        <v>683</v>
      </c>
    </row>
    <row r="1059" spans="1:5" x14ac:dyDescent="0.3">
      <c r="A1059">
        <v>2057</v>
      </c>
      <c r="B1059" t="s">
        <v>8</v>
      </c>
      <c r="D1059">
        <v>59194.65</v>
      </c>
      <c r="E1059" t="s">
        <v>473</v>
      </c>
    </row>
    <row r="1060" spans="1:5" x14ac:dyDescent="0.3">
      <c r="A1060">
        <v>2058</v>
      </c>
      <c r="B1060" t="s">
        <v>8</v>
      </c>
      <c r="C1060" t="s">
        <v>12</v>
      </c>
      <c r="D1060">
        <v>15114.17</v>
      </c>
      <c r="E1060" t="s">
        <v>449</v>
      </c>
    </row>
    <row r="1061" spans="1:5" x14ac:dyDescent="0.3">
      <c r="A1061">
        <v>2059</v>
      </c>
      <c r="B1061" t="s">
        <v>6</v>
      </c>
      <c r="C1061" t="s">
        <v>12</v>
      </c>
      <c r="D1061">
        <v>15956.13</v>
      </c>
      <c r="E1061" t="s">
        <v>684</v>
      </c>
    </row>
    <row r="1062" spans="1:5" x14ac:dyDescent="0.3">
      <c r="A1062">
        <v>2060</v>
      </c>
      <c r="B1062" t="s">
        <v>6</v>
      </c>
      <c r="C1062" t="s">
        <v>12</v>
      </c>
      <c r="D1062">
        <v>33847.21</v>
      </c>
      <c r="E1062" t="s">
        <v>177</v>
      </c>
    </row>
    <row r="1063" spans="1:5" x14ac:dyDescent="0.3">
      <c r="A1063">
        <v>2061</v>
      </c>
      <c r="B1063" t="s">
        <v>7</v>
      </c>
      <c r="C1063" t="s">
        <v>12</v>
      </c>
      <c r="D1063">
        <v>49003.33</v>
      </c>
      <c r="E1063" t="s">
        <v>355</v>
      </c>
    </row>
    <row r="1064" spans="1:5" x14ac:dyDescent="0.3">
      <c r="A1064">
        <v>2062</v>
      </c>
      <c r="B1064" t="s">
        <v>8</v>
      </c>
      <c r="C1064" t="s">
        <v>10</v>
      </c>
      <c r="D1064">
        <v>25257.79</v>
      </c>
      <c r="E1064" t="s">
        <v>498</v>
      </c>
    </row>
    <row r="1065" spans="1:5" x14ac:dyDescent="0.3">
      <c r="A1065">
        <v>2063</v>
      </c>
      <c r="B1065" t="s">
        <v>9</v>
      </c>
      <c r="C1065" t="s">
        <v>11</v>
      </c>
      <c r="D1065">
        <v>30146.69</v>
      </c>
      <c r="E1065" t="s">
        <v>189</v>
      </c>
    </row>
    <row r="1066" spans="1:5" x14ac:dyDescent="0.3">
      <c r="A1066">
        <v>2064</v>
      </c>
      <c r="B1066" t="s">
        <v>7</v>
      </c>
      <c r="C1066" t="s">
        <v>10</v>
      </c>
      <c r="D1066">
        <v>30243.58</v>
      </c>
      <c r="E1066" t="s">
        <v>643</v>
      </c>
    </row>
    <row r="1067" spans="1:5" x14ac:dyDescent="0.3">
      <c r="A1067">
        <v>2065</v>
      </c>
      <c r="B1067" t="s">
        <v>9</v>
      </c>
      <c r="C1067" t="s">
        <v>10</v>
      </c>
      <c r="D1067">
        <v>1856.39</v>
      </c>
      <c r="E1067" t="s">
        <v>116</v>
      </c>
    </row>
    <row r="1068" spans="1:5" x14ac:dyDescent="0.3">
      <c r="A1068">
        <v>2066</v>
      </c>
      <c r="B1068" t="s">
        <v>8</v>
      </c>
      <c r="C1068" t="s">
        <v>10</v>
      </c>
      <c r="D1068">
        <v>1498.64</v>
      </c>
      <c r="E1068" t="s">
        <v>43</v>
      </c>
    </row>
    <row r="1069" spans="1:5" x14ac:dyDescent="0.3">
      <c r="A1069">
        <v>2067</v>
      </c>
      <c r="B1069" t="s">
        <v>6</v>
      </c>
      <c r="C1069" t="s">
        <v>11</v>
      </c>
      <c r="E1069" t="s">
        <v>521</v>
      </c>
    </row>
    <row r="1070" spans="1:5" x14ac:dyDescent="0.3">
      <c r="A1070">
        <v>2068</v>
      </c>
      <c r="B1070" t="s">
        <v>9</v>
      </c>
      <c r="C1070" t="s">
        <v>11</v>
      </c>
      <c r="D1070">
        <v>30155.3</v>
      </c>
      <c r="E1070" t="s">
        <v>685</v>
      </c>
    </row>
    <row r="1071" spans="1:5" x14ac:dyDescent="0.3">
      <c r="A1071">
        <v>2069</v>
      </c>
      <c r="B1071" t="s">
        <v>5</v>
      </c>
      <c r="C1071" t="s">
        <v>10</v>
      </c>
      <c r="D1071">
        <v>27050.51</v>
      </c>
      <c r="E1071" t="s">
        <v>686</v>
      </c>
    </row>
    <row r="1072" spans="1:5" x14ac:dyDescent="0.3">
      <c r="A1072">
        <v>2070</v>
      </c>
      <c r="B1072" t="s">
        <v>6</v>
      </c>
      <c r="C1072" t="s">
        <v>11</v>
      </c>
      <c r="D1072">
        <v>14047.71</v>
      </c>
      <c r="E1072" t="s">
        <v>126</v>
      </c>
    </row>
    <row r="1073" spans="1:5" x14ac:dyDescent="0.3">
      <c r="A1073">
        <v>2071</v>
      </c>
      <c r="B1073" t="s">
        <v>8</v>
      </c>
      <c r="C1073" t="s">
        <v>12</v>
      </c>
      <c r="D1073">
        <v>6166.96</v>
      </c>
      <c r="E1073" t="s">
        <v>649</v>
      </c>
    </row>
    <row r="1074" spans="1:5" x14ac:dyDescent="0.3">
      <c r="A1074">
        <v>2072</v>
      </c>
      <c r="B1074" t="s">
        <v>5</v>
      </c>
      <c r="C1074" t="s">
        <v>11</v>
      </c>
      <c r="D1074">
        <v>27359.42</v>
      </c>
      <c r="E1074" t="s">
        <v>687</v>
      </c>
    </row>
    <row r="1075" spans="1:5" x14ac:dyDescent="0.3">
      <c r="A1075">
        <v>2073</v>
      </c>
      <c r="B1075" t="s">
        <v>9</v>
      </c>
      <c r="D1075">
        <v>19532.48</v>
      </c>
      <c r="E1075" t="s">
        <v>638</v>
      </c>
    </row>
    <row r="1076" spans="1:5" x14ac:dyDescent="0.3">
      <c r="A1076">
        <v>2074</v>
      </c>
      <c r="B1076" t="s">
        <v>5</v>
      </c>
      <c r="C1076" t="s">
        <v>11</v>
      </c>
      <c r="D1076">
        <v>36206.660000000003</v>
      </c>
      <c r="E1076" t="s">
        <v>688</v>
      </c>
    </row>
    <row r="1077" spans="1:5" x14ac:dyDescent="0.3">
      <c r="A1077">
        <v>2075</v>
      </c>
      <c r="B1077" t="s">
        <v>8</v>
      </c>
      <c r="C1077" t="s">
        <v>12</v>
      </c>
      <c r="D1077">
        <v>29046.18</v>
      </c>
      <c r="E1077" t="s">
        <v>689</v>
      </c>
    </row>
    <row r="1078" spans="1:5" x14ac:dyDescent="0.3">
      <c r="A1078">
        <v>2076</v>
      </c>
      <c r="B1078" t="s">
        <v>8</v>
      </c>
      <c r="C1078" t="s">
        <v>11</v>
      </c>
      <c r="D1078">
        <v>59521.68</v>
      </c>
      <c r="E1078" t="s">
        <v>102</v>
      </c>
    </row>
    <row r="1079" spans="1:5" x14ac:dyDescent="0.3">
      <c r="A1079">
        <v>2077</v>
      </c>
      <c r="B1079" t="s">
        <v>6</v>
      </c>
      <c r="C1079" t="s">
        <v>10</v>
      </c>
      <c r="D1079">
        <v>49760.77</v>
      </c>
      <c r="E1079" t="s">
        <v>560</v>
      </c>
    </row>
    <row r="1080" spans="1:5" x14ac:dyDescent="0.3">
      <c r="A1080">
        <v>2078</v>
      </c>
      <c r="C1080" t="s">
        <v>11</v>
      </c>
      <c r="D1080">
        <v>8609.76</v>
      </c>
      <c r="E1080" t="s">
        <v>282</v>
      </c>
    </row>
    <row r="1081" spans="1:5" x14ac:dyDescent="0.3">
      <c r="A1081">
        <v>2079</v>
      </c>
      <c r="B1081" t="s">
        <v>9</v>
      </c>
      <c r="C1081" t="s">
        <v>11</v>
      </c>
      <c r="D1081">
        <v>14806.31</v>
      </c>
      <c r="E1081" t="s">
        <v>459</v>
      </c>
    </row>
    <row r="1082" spans="1:5" x14ac:dyDescent="0.3">
      <c r="A1082">
        <v>2080</v>
      </c>
      <c r="B1082" t="s">
        <v>8</v>
      </c>
      <c r="C1082" t="s">
        <v>10</v>
      </c>
      <c r="D1082">
        <v>45690.67</v>
      </c>
      <c r="E1082" t="s">
        <v>517</v>
      </c>
    </row>
    <row r="1083" spans="1:5" x14ac:dyDescent="0.3">
      <c r="A1083">
        <v>2081</v>
      </c>
      <c r="B1083" t="s">
        <v>5</v>
      </c>
      <c r="C1083" t="s">
        <v>10</v>
      </c>
      <c r="D1083">
        <v>19274.02</v>
      </c>
      <c r="E1083" t="s">
        <v>503</v>
      </c>
    </row>
    <row r="1084" spans="1:5" x14ac:dyDescent="0.3">
      <c r="A1084">
        <v>2082</v>
      </c>
      <c r="B1084" t="s">
        <v>7</v>
      </c>
      <c r="C1084" t="s">
        <v>10</v>
      </c>
      <c r="D1084">
        <v>14477.13</v>
      </c>
      <c r="E1084" t="s">
        <v>621</v>
      </c>
    </row>
    <row r="1085" spans="1:5" x14ac:dyDescent="0.3">
      <c r="A1085">
        <v>2083</v>
      </c>
      <c r="B1085" t="s">
        <v>8</v>
      </c>
      <c r="C1085" t="s">
        <v>12</v>
      </c>
      <c r="D1085">
        <v>42613.09</v>
      </c>
      <c r="E1085" t="s">
        <v>690</v>
      </c>
    </row>
    <row r="1086" spans="1:5" x14ac:dyDescent="0.3">
      <c r="A1086">
        <v>2084</v>
      </c>
      <c r="B1086" t="s">
        <v>8</v>
      </c>
      <c r="C1086" t="s">
        <v>11</v>
      </c>
      <c r="D1086">
        <v>45635.78</v>
      </c>
      <c r="E1086" t="s">
        <v>272</v>
      </c>
    </row>
    <row r="1087" spans="1:5" x14ac:dyDescent="0.3">
      <c r="A1087">
        <v>2085</v>
      </c>
      <c r="B1087" t="s">
        <v>8</v>
      </c>
      <c r="C1087" t="s">
        <v>10</v>
      </c>
      <c r="D1087">
        <v>40947.35</v>
      </c>
      <c r="E1087" t="s">
        <v>691</v>
      </c>
    </row>
    <row r="1088" spans="1:5" x14ac:dyDescent="0.3">
      <c r="A1088">
        <v>2086</v>
      </c>
      <c r="B1088" t="s">
        <v>6</v>
      </c>
      <c r="C1088" t="s">
        <v>12</v>
      </c>
      <c r="D1088">
        <v>48279.77</v>
      </c>
      <c r="E1088" t="s">
        <v>692</v>
      </c>
    </row>
    <row r="1089" spans="1:5" x14ac:dyDescent="0.3">
      <c r="A1089">
        <v>2087</v>
      </c>
      <c r="C1089" t="s">
        <v>11</v>
      </c>
      <c r="D1089">
        <v>4509.33</v>
      </c>
      <c r="E1089" t="s">
        <v>72</v>
      </c>
    </row>
    <row r="1090" spans="1:5" x14ac:dyDescent="0.3">
      <c r="A1090">
        <v>2088</v>
      </c>
      <c r="B1090" t="s">
        <v>7</v>
      </c>
      <c r="C1090" t="s">
        <v>10</v>
      </c>
      <c r="D1090">
        <v>51451.46</v>
      </c>
      <c r="E1090" t="s">
        <v>312</v>
      </c>
    </row>
    <row r="1091" spans="1:5" x14ac:dyDescent="0.3">
      <c r="A1091">
        <v>2089</v>
      </c>
      <c r="B1091" t="s">
        <v>8</v>
      </c>
      <c r="C1091" t="s">
        <v>12</v>
      </c>
      <c r="D1091">
        <v>44903.47</v>
      </c>
      <c r="E1091" t="s">
        <v>693</v>
      </c>
    </row>
    <row r="1092" spans="1:5" x14ac:dyDescent="0.3">
      <c r="A1092">
        <v>2090</v>
      </c>
      <c r="B1092" t="s">
        <v>9</v>
      </c>
      <c r="C1092" t="s">
        <v>12</v>
      </c>
      <c r="D1092">
        <v>57655.72</v>
      </c>
      <c r="E1092" t="s">
        <v>301</v>
      </c>
    </row>
    <row r="1093" spans="1:5" x14ac:dyDescent="0.3">
      <c r="A1093">
        <v>2091</v>
      </c>
      <c r="B1093" t="s">
        <v>7</v>
      </c>
      <c r="C1093" t="s">
        <v>10</v>
      </c>
      <c r="D1093">
        <v>51744.34</v>
      </c>
      <c r="E1093" t="s">
        <v>338</v>
      </c>
    </row>
    <row r="1094" spans="1:5" x14ac:dyDescent="0.3">
      <c r="A1094">
        <v>2092</v>
      </c>
      <c r="B1094" t="s">
        <v>8</v>
      </c>
      <c r="C1094" t="s">
        <v>11</v>
      </c>
      <c r="E1094" t="s">
        <v>221</v>
      </c>
    </row>
    <row r="1095" spans="1:5" x14ac:dyDescent="0.3">
      <c r="A1095">
        <v>2093</v>
      </c>
      <c r="B1095" t="s">
        <v>8</v>
      </c>
      <c r="C1095" t="s">
        <v>13</v>
      </c>
      <c r="D1095">
        <v>41466.699999999997</v>
      </c>
      <c r="E1095" t="s">
        <v>250</v>
      </c>
    </row>
    <row r="1096" spans="1:5" x14ac:dyDescent="0.3">
      <c r="A1096">
        <v>2094</v>
      </c>
      <c r="B1096" t="s">
        <v>5</v>
      </c>
      <c r="C1096" t="s">
        <v>13</v>
      </c>
      <c r="D1096">
        <v>57135.12</v>
      </c>
      <c r="E1096" t="s">
        <v>505</v>
      </c>
    </row>
    <row r="1097" spans="1:5" x14ac:dyDescent="0.3">
      <c r="A1097">
        <v>2095</v>
      </c>
      <c r="B1097" t="s">
        <v>6</v>
      </c>
      <c r="C1097" t="s">
        <v>11</v>
      </c>
      <c r="D1097">
        <v>51172.24</v>
      </c>
      <c r="E1097" t="s">
        <v>154</v>
      </c>
    </row>
    <row r="1098" spans="1:5" x14ac:dyDescent="0.3">
      <c r="A1098">
        <v>2096</v>
      </c>
      <c r="B1098" t="s">
        <v>8</v>
      </c>
      <c r="C1098" t="s">
        <v>13</v>
      </c>
      <c r="D1098">
        <v>54413.99</v>
      </c>
      <c r="E1098" t="s">
        <v>222</v>
      </c>
    </row>
    <row r="1099" spans="1:5" x14ac:dyDescent="0.3">
      <c r="A1099">
        <v>2097</v>
      </c>
      <c r="B1099" t="s">
        <v>6</v>
      </c>
      <c r="C1099" t="s">
        <v>13</v>
      </c>
      <c r="D1099">
        <v>23783.200000000001</v>
      </c>
      <c r="E1099" t="s">
        <v>649</v>
      </c>
    </row>
    <row r="1100" spans="1:5" x14ac:dyDescent="0.3">
      <c r="A1100">
        <v>2098</v>
      </c>
      <c r="B1100" t="s">
        <v>8</v>
      </c>
      <c r="C1100" t="s">
        <v>13</v>
      </c>
      <c r="D1100">
        <v>30477.49</v>
      </c>
      <c r="E1100" t="s">
        <v>694</v>
      </c>
    </row>
    <row r="1101" spans="1:5" x14ac:dyDescent="0.3">
      <c r="A1101">
        <v>2099</v>
      </c>
      <c r="B1101" t="s">
        <v>7</v>
      </c>
      <c r="C1101" t="s">
        <v>13</v>
      </c>
      <c r="D1101">
        <v>49781.62</v>
      </c>
      <c r="E1101" t="s">
        <v>541</v>
      </c>
    </row>
    <row r="1102" spans="1:5" x14ac:dyDescent="0.3">
      <c r="A1102">
        <v>2100</v>
      </c>
      <c r="B1102" t="s">
        <v>8</v>
      </c>
      <c r="C1102" t="s">
        <v>10</v>
      </c>
      <c r="D1102">
        <v>1014.33</v>
      </c>
      <c r="E1102" t="s">
        <v>695</v>
      </c>
    </row>
    <row r="1103" spans="1:5" x14ac:dyDescent="0.3">
      <c r="A1103">
        <v>2101</v>
      </c>
      <c r="B1103" t="s">
        <v>6</v>
      </c>
      <c r="C1103" t="s">
        <v>10</v>
      </c>
      <c r="D1103">
        <v>23042.73</v>
      </c>
      <c r="E1103" t="s">
        <v>67</v>
      </c>
    </row>
    <row r="1104" spans="1:5" x14ac:dyDescent="0.3">
      <c r="A1104">
        <v>2102</v>
      </c>
      <c r="B1104" t="s">
        <v>9</v>
      </c>
      <c r="C1104" t="s">
        <v>13</v>
      </c>
      <c r="D1104">
        <v>8095.99</v>
      </c>
      <c r="E1104" t="s">
        <v>696</v>
      </c>
    </row>
    <row r="1105" spans="1:5" x14ac:dyDescent="0.3">
      <c r="A1105">
        <v>2103</v>
      </c>
      <c r="B1105" t="s">
        <v>7</v>
      </c>
      <c r="C1105" t="s">
        <v>10</v>
      </c>
      <c r="D1105">
        <v>47094.16</v>
      </c>
      <c r="E1105" t="s">
        <v>658</v>
      </c>
    </row>
    <row r="1106" spans="1:5" x14ac:dyDescent="0.3">
      <c r="A1106">
        <v>2104</v>
      </c>
      <c r="B1106" t="s">
        <v>8</v>
      </c>
      <c r="C1106" t="s">
        <v>10</v>
      </c>
      <c r="D1106">
        <v>42686.44</v>
      </c>
      <c r="E1106" t="s">
        <v>40</v>
      </c>
    </row>
    <row r="1107" spans="1:5" x14ac:dyDescent="0.3">
      <c r="A1107">
        <v>2105</v>
      </c>
      <c r="B1107" t="s">
        <v>9</v>
      </c>
      <c r="C1107" t="s">
        <v>10</v>
      </c>
      <c r="D1107">
        <v>25817.18</v>
      </c>
      <c r="E1107" t="s">
        <v>657</v>
      </c>
    </row>
    <row r="1108" spans="1:5" x14ac:dyDescent="0.3">
      <c r="A1108">
        <v>1810</v>
      </c>
      <c r="B1108" t="s">
        <v>5</v>
      </c>
      <c r="C1108" t="s">
        <v>12</v>
      </c>
      <c r="D1108">
        <v>37541.550000000003</v>
      </c>
      <c r="E1108" t="s">
        <v>681</v>
      </c>
    </row>
    <row r="1109" spans="1:5" x14ac:dyDescent="0.3">
      <c r="A1109">
        <v>2107</v>
      </c>
      <c r="B1109" t="s">
        <v>6</v>
      </c>
      <c r="C1109" t="s">
        <v>12</v>
      </c>
      <c r="D1109">
        <v>44100.36</v>
      </c>
      <c r="E1109" t="s">
        <v>697</v>
      </c>
    </row>
    <row r="1110" spans="1:5" x14ac:dyDescent="0.3">
      <c r="A1110">
        <v>2108</v>
      </c>
      <c r="B1110" t="s">
        <v>8</v>
      </c>
      <c r="D1110">
        <v>21086.02</v>
      </c>
      <c r="E1110" t="s">
        <v>259</v>
      </c>
    </row>
    <row r="1111" spans="1:5" x14ac:dyDescent="0.3">
      <c r="A1111">
        <v>2109</v>
      </c>
      <c r="B1111" t="s">
        <v>5</v>
      </c>
      <c r="C1111" t="s">
        <v>10</v>
      </c>
      <c r="D1111">
        <v>52530.1</v>
      </c>
      <c r="E1111" t="s">
        <v>298</v>
      </c>
    </row>
    <row r="1112" spans="1:5" x14ac:dyDescent="0.3">
      <c r="A1112">
        <v>2110</v>
      </c>
      <c r="B1112" t="s">
        <v>5</v>
      </c>
      <c r="C1112" t="s">
        <v>13</v>
      </c>
      <c r="D1112">
        <v>41651</v>
      </c>
      <c r="E1112" t="s">
        <v>349</v>
      </c>
    </row>
    <row r="1113" spans="1:5" x14ac:dyDescent="0.3">
      <c r="A1113">
        <v>2111</v>
      </c>
      <c r="B1113" t="s">
        <v>9</v>
      </c>
      <c r="C1113" t="s">
        <v>13</v>
      </c>
      <c r="D1113">
        <v>40180.370000000003</v>
      </c>
      <c r="E1113" t="s">
        <v>698</v>
      </c>
    </row>
    <row r="1114" spans="1:5" x14ac:dyDescent="0.3">
      <c r="A1114">
        <v>2112</v>
      </c>
      <c r="B1114" t="s">
        <v>8</v>
      </c>
      <c r="C1114" t="s">
        <v>13</v>
      </c>
      <c r="D1114">
        <v>1934.45</v>
      </c>
      <c r="E1114" t="s">
        <v>699</v>
      </c>
    </row>
    <row r="1115" spans="1:5" x14ac:dyDescent="0.3">
      <c r="A1115">
        <v>2113</v>
      </c>
      <c r="B1115" t="s">
        <v>6</v>
      </c>
      <c r="C1115" t="s">
        <v>12</v>
      </c>
      <c r="D1115">
        <v>55795.03</v>
      </c>
      <c r="E1115" t="s">
        <v>700</v>
      </c>
    </row>
    <row r="1116" spans="1:5" x14ac:dyDescent="0.3">
      <c r="A1116">
        <v>2114</v>
      </c>
      <c r="B1116" t="s">
        <v>5</v>
      </c>
      <c r="C1116" t="s">
        <v>10</v>
      </c>
      <c r="D1116">
        <v>8422.34</v>
      </c>
      <c r="E1116" t="s">
        <v>701</v>
      </c>
    </row>
    <row r="1117" spans="1:5" x14ac:dyDescent="0.3">
      <c r="A1117">
        <v>2115</v>
      </c>
      <c r="B1117" t="s">
        <v>5</v>
      </c>
      <c r="C1117" t="s">
        <v>12</v>
      </c>
      <c r="D1117">
        <v>27123.13</v>
      </c>
      <c r="E1117" t="s">
        <v>702</v>
      </c>
    </row>
    <row r="1118" spans="1:5" x14ac:dyDescent="0.3">
      <c r="A1118">
        <v>2116</v>
      </c>
      <c r="B1118" t="s">
        <v>7</v>
      </c>
      <c r="C1118" t="s">
        <v>11</v>
      </c>
      <c r="D1118">
        <v>2441.19</v>
      </c>
      <c r="E1118" t="s">
        <v>137</v>
      </c>
    </row>
    <row r="1119" spans="1:5" x14ac:dyDescent="0.3">
      <c r="A1119">
        <v>2117</v>
      </c>
      <c r="B1119" t="s">
        <v>5</v>
      </c>
      <c r="C1119" t="s">
        <v>10</v>
      </c>
      <c r="D1119">
        <v>55366.01</v>
      </c>
      <c r="E1119" t="s">
        <v>703</v>
      </c>
    </row>
    <row r="1120" spans="1:5" x14ac:dyDescent="0.3">
      <c r="A1120">
        <v>2118</v>
      </c>
      <c r="B1120" t="s">
        <v>6</v>
      </c>
      <c r="C1120" t="s">
        <v>10</v>
      </c>
      <c r="D1120">
        <v>58880.74</v>
      </c>
      <c r="E1120" t="s">
        <v>49</v>
      </c>
    </row>
    <row r="1121" spans="1:5" x14ac:dyDescent="0.3">
      <c r="A1121">
        <v>2119</v>
      </c>
      <c r="B1121" t="s">
        <v>6</v>
      </c>
      <c r="C1121" t="s">
        <v>13</v>
      </c>
      <c r="E1121" t="s">
        <v>704</v>
      </c>
    </row>
    <row r="1122" spans="1:5" x14ac:dyDescent="0.3">
      <c r="A1122">
        <v>2120</v>
      </c>
      <c r="B1122" t="s">
        <v>6</v>
      </c>
      <c r="C1122" t="s">
        <v>11</v>
      </c>
      <c r="D1122">
        <v>21206.04</v>
      </c>
      <c r="E1122" t="s">
        <v>705</v>
      </c>
    </row>
    <row r="1123" spans="1:5" x14ac:dyDescent="0.3">
      <c r="A1123">
        <v>2121</v>
      </c>
      <c r="B1123" t="s">
        <v>9</v>
      </c>
      <c r="C1123" t="s">
        <v>10</v>
      </c>
      <c r="E1123" t="s">
        <v>298</v>
      </c>
    </row>
    <row r="1124" spans="1:5" x14ac:dyDescent="0.3">
      <c r="A1124">
        <v>2122</v>
      </c>
      <c r="B1124" t="s">
        <v>9</v>
      </c>
      <c r="C1124" t="s">
        <v>11</v>
      </c>
      <c r="D1124">
        <v>35679.93</v>
      </c>
      <c r="E1124" t="s">
        <v>706</v>
      </c>
    </row>
    <row r="1125" spans="1:5" x14ac:dyDescent="0.3">
      <c r="A1125">
        <v>2123</v>
      </c>
      <c r="B1125" t="s">
        <v>8</v>
      </c>
      <c r="C1125" t="s">
        <v>10</v>
      </c>
      <c r="D1125">
        <v>26780.34</v>
      </c>
      <c r="E1125" t="s">
        <v>707</v>
      </c>
    </row>
    <row r="1126" spans="1:5" x14ac:dyDescent="0.3">
      <c r="A1126">
        <v>2124</v>
      </c>
      <c r="B1126" t="s">
        <v>6</v>
      </c>
      <c r="C1126" t="s">
        <v>13</v>
      </c>
      <c r="D1126">
        <v>39020.97</v>
      </c>
      <c r="E1126" t="s">
        <v>384</v>
      </c>
    </row>
    <row r="1127" spans="1:5" x14ac:dyDescent="0.3">
      <c r="A1127">
        <v>2125</v>
      </c>
      <c r="B1127" t="s">
        <v>9</v>
      </c>
      <c r="C1127" t="s">
        <v>12</v>
      </c>
      <c r="E1127" t="s">
        <v>708</v>
      </c>
    </row>
    <row r="1128" spans="1:5" x14ac:dyDescent="0.3">
      <c r="A1128">
        <v>2126</v>
      </c>
      <c r="B1128" t="s">
        <v>6</v>
      </c>
      <c r="C1128" t="s">
        <v>11</v>
      </c>
      <c r="D1128">
        <v>38757.43</v>
      </c>
      <c r="E1128" t="s">
        <v>51</v>
      </c>
    </row>
    <row r="1129" spans="1:5" x14ac:dyDescent="0.3">
      <c r="A1129">
        <v>2127</v>
      </c>
      <c r="B1129" t="s">
        <v>8</v>
      </c>
      <c r="C1129" t="s">
        <v>12</v>
      </c>
      <c r="D1129">
        <v>30203.98</v>
      </c>
      <c r="E1129" t="s">
        <v>206</v>
      </c>
    </row>
    <row r="1130" spans="1:5" x14ac:dyDescent="0.3">
      <c r="A1130">
        <v>2128</v>
      </c>
      <c r="B1130" t="s">
        <v>8</v>
      </c>
      <c r="C1130" t="s">
        <v>12</v>
      </c>
      <c r="D1130">
        <v>54282.75</v>
      </c>
      <c r="E1130" t="s">
        <v>609</v>
      </c>
    </row>
    <row r="1131" spans="1:5" x14ac:dyDescent="0.3">
      <c r="A1131">
        <v>2129</v>
      </c>
      <c r="B1131" t="s">
        <v>7</v>
      </c>
      <c r="C1131" t="s">
        <v>10</v>
      </c>
      <c r="D1131">
        <v>24505.63</v>
      </c>
      <c r="E1131" t="s">
        <v>308</v>
      </c>
    </row>
    <row r="1132" spans="1:5" x14ac:dyDescent="0.3">
      <c r="A1132">
        <v>2130</v>
      </c>
      <c r="B1132" t="s">
        <v>6</v>
      </c>
      <c r="C1132" t="s">
        <v>13</v>
      </c>
      <c r="D1132">
        <v>11608.07</v>
      </c>
      <c r="E1132" t="s">
        <v>549</v>
      </c>
    </row>
    <row r="1133" spans="1:5" x14ac:dyDescent="0.3">
      <c r="A1133">
        <v>2131</v>
      </c>
      <c r="C1133" t="s">
        <v>11</v>
      </c>
      <c r="D1133">
        <v>6785.41</v>
      </c>
      <c r="E1133" t="s">
        <v>584</v>
      </c>
    </row>
    <row r="1134" spans="1:5" x14ac:dyDescent="0.3">
      <c r="A1134">
        <v>2132</v>
      </c>
      <c r="B1134" t="s">
        <v>6</v>
      </c>
      <c r="C1134" t="s">
        <v>11</v>
      </c>
      <c r="D1134">
        <v>17633.84</v>
      </c>
      <c r="E1134" t="s">
        <v>441</v>
      </c>
    </row>
    <row r="1135" spans="1:5" x14ac:dyDescent="0.3">
      <c r="A1135">
        <v>2133</v>
      </c>
      <c r="B1135" t="s">
        <v>8</v>
      </c>
      <c r="C1135" t="s">
        <v>11</v>
      </c>
      <c r="E1135" t="s">
        <v>647</v>
      </c>
    </row>
    <row r="1136" spans="1:5" x14ac:dyDescent="0.3">
      <c r="A1136">
        <v>2134</v>
      </c>
      <c r="B1136" t="s">
        <v>6</v>
      </c>
      <c r="C1136" t="s">
        <v>10</v>
      </c>
      <c r="D1136">
        <v>29087.47</v>
      </c>
      <c r="E1136" t="s">
        <v>209</v>
      </c>
    </row>
    <row r="1137" spans="1:5" x14ac:dyDescent="0.3">
      <c r="A1137">
        <v>2135</v>
      </c>
      <c r="B1137" t="s">
        <v>7</v>
      </c>
      <c r="C1137" t="s">
        <v>10</v>
      </c>
      <c r="D1137">
        <v>10475.59</v>
      </c>
      <c r="E1137" t="s">
        <v>709</v>
      </c>
    </row>
    <row r="1138" spans="1:5" x14ac:dyDescent="0.3">
      <c r="A1138">
        <v>2136</v>
      </c>
      <c r="B1138" t="s">
        <v>5</v>
      </c>
      <c r="C1138" t="s">
        <v>12</v>
      </c>
      <c r="D1138">
        <v>58556.11</v>
      </c>
      <c r="E1138" t="s">
        <v>97</v>
      </c>
    </row>
    <row r="1139" spans="1:5" x14ac:dyDescent="0.3">
      <c r="A1139">
        <v>2137</v>
      </c>
      <c r="B1139" t="s">
        <v>5</v>
      </c>
      <c r="C1139" t="s">
        <v>11</v>
      </c>
      <c r="D1139">
        <v>45029.01</v>
      </c>
      <c r="E1139" t="s">
        <v>464</v>
      </c>
    </row>
    <row r="1140" spans="1:5" x14ac:dyDescent="0.3">
      <c r="A1140">
        <v>2138</v>
      </c>
      <c r="B1140" t="s">
        <v>7</v>
      </c>
      <c r="C1140" t="s">
        <v>10</v>
      </c>
      <c r="D1140">
        <v>22652.6</v>
      </c>
      <c r="E1140" t="s">
        <v>554</v>
      </c>
    </row>
    <row r="1141" spans="1:5" x14ac:dyDescent="0.3">
      <c r="A1141">
        <v>2139</v>
      </c>
      <c r="B1141" t="s">
        <v>5</v>
      </c>
      <c r="C1141" t="s">
        <v>13</v>
      </c>
      <c r="D1141">
        <v>4921.91</v>
      </c>
      <c r="E1141" t="s">
        <v>710</v>
      </c>
    </row>
    <row r="1142" spans="1:5" x14ac:dyDescent="0.3">
      <c r="A1142">
        <v>2140</v>
      </c>
      <c r="B1142" t="s">
        <v>7</v>
      </c>
      <c r="C1142" t="s">
        <v>12</v>
      </c>
      <c r="D1142">
        <v>53375.74</v>
      </c>
      <c r="E1142" t="s">
        <v>551</v>
      </c>
    </row>
    <row r="1143" spans="1:5" x14ac:dyDescent="0.3">
      <c r="A1143">
        <v>2141</v>
      </c>
      <c r="B1143" t="s">
        <v>9</v>
      </c>
      <c r="C1143" t="s">
        <v>13</v>
      </c>
      <c r="D1143">
        <v>1680.03</v>
      </c>
      <c r="E1143" t="s">
        <v>651</v>
      </c>
    </row>
    <row r="1144" spans="1:5" x14ac:dyDescent="0.3">
      <c r="A1144">
        <v>2142</v>
      </c>
      <c r="C1144" t="s">
        <v>13</v>
      </c>
      <c r="E1144" t="s">
        <v>542</v>
      </c>
    </row>
    <row r="1145" spans="1:5" x14ac:dyDescent="0.3">
      <c r="A1145">
        <v>2143</v>
      </c>
      <c r="B1145" t="s">
        <v>6</v>
      </c>
      <c r="C1145" t="s">
        <v>10</v>
      </c>
      <c r="D1145">
        <v>20695.080000000002</v>
      </c>
      <c r="E1145" t="s">
        <v>682</v>
      </c>
    </row>
    <row r="1146" spans="1:5" x14ac:dyDescent="0.3">
      <c r="A1146">
        <v>2144</v>
      </c>
      <c r="B1146" t="s">
        <v>5</v>
      </c>
      <c r="C1146" t="s">
        <v>11</v>
      </c>
      <c r="D1146">
        <v>11599.9</v>
      </c>
      <c r="E1146" t="s">
        <v>32</v>
      </c>
    </row>
    <row r="1147" spans="1:5" x14ac:dyDescent="0.3">
      <c r="A1147">
        <v>2145</v>
      </c>
      <c r="B1147" t="s">
        <v>8</v>
      </c>
      <c r="C1147" t="s">
        <v>12</v>
      </c>
      <c r="D1147">
        <v>41994.42</v>
      </c>
      <c r="E1147" t="s">
        <v>668</v>
      </c>
    </row>
    <row r="1148" spans="1:5" x14ac:dyDescent="0.3">
      <c r="A1148">
        <v>2146</v>
      </c>
      <c r="B1148" t="s">
        <v>6</v>
      </c>
      <c r="C1148" t="s">
        <v>10</v>
      </c>
      <c r="D1148">
        <v>44831.03</v>
      </c>
      <c r="E1148" t="s">
        <v>711</v>
      </c>
    </row>
    <row r="1149" spans="1:5" x14ac:dyDescent="0.3">
      <c r="A1149">
        <v>2147</v>
      </c>
      <c r="B1149" t="s">
        <v>7</v>
      </c>
      <c r="C1149" t="s">
        <v>10</v>
      </c>
      <c r="D1149">
        <v>31690.66</v>
      </c>
      <c r="E1149" t="s">
        <v>367</v>
      </c>
    </row>
    <row r="1150" spans="1:5" x14ac:dyDescent="0.3">
      <c r="A1150">
        <v>2148</v>
      </c>
      <c r="B1150" t="s">
        <v>6</v>
      </c>
      <c r="C1150" t="s">
        <v>10</v>
      </c>
      <c r="D1150">
        <v>43554.22</v>
      </c>
      <c r="E1150" t="s">
        <v>318</v>
      </c>
    </row>
    <row r="1151" spans="1:5" x14ac:dyDescent="0.3">
      <c r="A1151">
        <v>2149</v>
      </c>
      <c r="B1151" t="s">
        <v>8</v>
      </c>
      <c r="C1151" t="s">
        <v>11</v>
      </c>
      <c r="D1151">
        <v>25751.31</v>
      </c>
      <c r="E1151" t="s">
        <v>339</v>
      </c>
    </row>
    <row r="1152" spans="1:5" x14ac:dyDescent="0.3">
      <c r="A1152">
        <v>2150</v>
      </c>
      <c r="B1152" t="s">
        <v>7</v>
      </c>
      <c r="C1152" t="s">
        <v>12</v>
      </c>
      <c r="D1152">
        <v>48807.89</v>
      </c>
      <c r="E1152" t="s">
        <v>383</v>
      </c>
    </row>
    <row r="1153" spans="1:5" x14ac:dyDescent="0.3">
      <c r="A1153">
        <v>2151</v>
      </c>
      <c r="B1153" t="s">
        <v>6</v>
      </c>
      <c r="C1153" t="s">
        <v>10</v>
      </c>
      <c r="D1153">
        <v>19650.189999999999</v>
      </c>
      <c r="E1153" t="s">
        <v>640</v>
      </c>
    </row>
    <row r="1154" spans="1:5" x14ac:dyDescent="0.3">
      <c r="A1154">
        <v>2152</v>
      </c>
      <c r="B1154" t="s">
        <v>6</v>
      </c>
      <c r="C1154" t="s">
        <v>11</v>
      </c>
      <c r="E1154" t="s">
        <v>712</v>
      </c>
    </row>
    <row r="1155" spans="1:5" x14ac:dyDescent="0.3">
      <c r="A1155">
        <v>2153</v>
      </c>
      <c r="B1155" t="s">
        <v>8</v>
      </c>
      <c r="C1155" t="s">
        <v>10</v>
      </c>
      <c r="D1155">
        <v>19839.7</v>
      </c>
      <c r="E1155" t="s">
        <v>713</v>
      </c>
    </row>
    <row r="1156" spans="1:5" x14ac:dyDescent="0.3">
      <c r="A1156">
        <v>2154</v>
      </c>
      <c r="B1156" t="s">
        <v>7</v>
      </c>
      <c r="C1156" t="s">
        <v>13</v>
      </c>
      <c r="D1156">
        <v>47836.75</v>
      </c>
      <c r="E1156" t="s">
        <v>596</v>
      </c>
    </row>
    <row r="1157" spans="1:5" x14ac:dyDescent="0.3">
      <c r="A1157">
        <v>2155</v>
      </c>
      <c r="B1157" t="s">
        <v>5</v>
      </c>
      <c r="C1157" t="s">
        <v>13</v>
      </c>
      <c r="D1157">
        <v>38474.26</v>
      </c>
      <c r="E1157" t="s">
        <v>594</v>
      </c>
    </row>
    <row r="1158" spans="1:5" x14ac:dyDescent="0.3">
      <c r="A1158">
        <v>2156</v>
      </c>
      <c r="B1158" t="s">
        <v>9</v>
      </c>
      <c r="C1158" t="s">
        <v>13</v>
      </c>
      <c r="D1158">
        <v>9038.7800000000007</v>
      </c>
      <c r="E1158" t="s">
        <v>193</v>
      </c>
    </row>
    <row r="1159" spans="1:5" x14ac:dyDescent="0.3">
      <c r="A1159">
        <v>2157</v>
      </c>
      <c r="B1159" t="s">
        <v>7</v>
      </c>
      <c r="C1159" t="s">
        <v>11</v>
      </c>
      <c r="D1159">
        <v>36095.129999999997</v>
      </c>
      <c r="E1159" t="s">
        <v>231</v>
      </c>
    </row>
    <row r="1160" spans="1:5" x14ac:dyDescent="0.3">
      <c r="A1160">
        <v>2158</v>
      </c>
      <c r="B1160" t="s">
        <v>7</v>
      </c>
      <c r="C1160" t="s">
        <v>11</v>
      </c>
      <c r="D1160">
        <v>6371.14</v>
      </c>
      <c r="E1160" t="s">
        <v>714</v>
      </c>
    </row>
    <row r="1161" spans="1:5" x14ac:dyDescent="0.3">
      <c r="A1161">
        <v>2159</v>
      </c>
      <c r="B1161" t="s">
        <v>5</v>
      </c>
      <c r="C1161" t="s">
        <v>12</v>
      </c>
      <c r="D1161">
        <v>49864.55</v>
      </c>
      <c r="E1161" t="s">
        <v>702</v>
      </c>
    </row>
    <row r="1162" spans="1:5" x14ac:dyDescent="0.3">
      <c r="A1162">
        <v>2160</v>
      </c>
      <c r="B1162" t="s">
        <v>7</v>
      </c>
      <c r="C1162" t="s">
        <v>13</v>
      </c>
      <c r="D1162">
        <v>29781.55</v>
      </c>
      <c r="E1162" t="s">
        <v>229</v>
      </c>
    </row>
    <row r="1163" spans="1:5" x14ac:dyDescent="0.3">
      <c r="A1163">
        <v>2161</v>
      </c>
      <c r="B1163" t="s">
        <v>5</v>
      </c>
      <c r="C1163" t="s">
        <v>12</v>
      </c>
      <c r="D1163">
        <v>51802.71</v>
      </c>
      <c r="E1163" t="s">
        <v>408</v>
      </c>
    </row>
    <row r="1164" spans="1:5" x14ac:dyDescent="0.3">
      <c r="A1164">
        <v>2162</v>
      </c>
      <c r="B1164" t="s">
        <v>7</v>
      </c>
      <c r="C1164" t="s">
        <v>11</v>
      </c>
      <c r="D1164">
        <v>10359.59</v>
      </c>
      <c r="E1164" t="s">
        <v>715</v>
      </c>
    </row>
    <row r="1165" spans="1:5" x14ac:dyDescent="0.3">
      <c r="A1165">
        <v>2163</v>
      </c>
      <c r="B1165" t="s">
        <v>8</v>
      </c>
      <c r="C1165" t="s">
        <v>13</v>
      </c>
      <c r="D1165">
        <v>31271.56</v>
      </c>
      <c r="E1165" t="s">
        <v>16</v>
      </c>
    </row>
    <row r="1166" spans="1:5" x14ac:dyDescent="0.3">
      <c r="A1166">
        <v>2164</v>
      </c>
      <c r="B1166" t="s">
        <v>6</v>
      </c>
      <c r="C1166" t="s">
        <v>10</v>
      </c>
      <c r="E1166" t="s">
        <v>716</v>
      </c>
    </row>
    <row r="1167" spans="1:5" x14ac:dyDescent="0.3">
      <c r="A1167">
        <v>2165</v>
      </c>
      <c r="B1167" t="s">
        <v>7</v>
      </c>
      <c r="C1167" t="s">
        <v>10</v>
      </c>
      <c r="D1167">
        <v>51812.7</v>
      </c>
      <c r="E1167" t="s">
        <v>717</v>
      </c>
    </row>
    <row r="1168" spans="1:5" x14ac:dyDescent="0.3">
      <c r="A1168">
        <v>2166</v>
      </c>
      <c r="B1168" t="s">
        <v>9</v>
      </c>
      <c r="C1168" t="s">
        <v>10</v>
      </c>
      <c r="D1168">
        <v>22808.94</v>
      </c>
      <c r="E1168" t="s">
        <v>368</v>
      </c>
    </row>
    <row r="1169" spans="1:5" x14ac:dyDescent="0.3">
      <c r="A1169">
        <v>2167</v>
      </c>
      <c r="B1169" t="s">
        <v>9</v>
      </c>
      <c r="C1169" t="s">
        <v>11</v>
      </c>
      <c r="D1169">
        <v>6764.73</v>
      </c>
      <c r="E1169" t="s">
        <v>346</v>
      </c>
    </row>
    <row r="1170" spans="1:5" x14ac:dyDescent="0.3">
      <c r="A1170">
        <v>2168</v>
      </c>
      <c r="B1170" t="s">
        <v>7</v>
      </c>
      <c r="C1170" t="s">
        <v>10</v>
      </c>
      <c r="D1170">
        <v>50212.58</v>
      </c>
      <c r="E1170" t="s">
        <v>426</v>
      </c>
    </row>
    <row r="1171" spans="1:5" x14ac:dyDescent="0.3">
      <c r="A1171">
        <v>2169</v>
      </c>
      <c r="B1171" t="s">
        <v>9</v>
      </c>
      <c r="C1171" t="s">
        <v>11</v>
      </c>
      <c r="D1171">
        <v>14068.12</v>
      </c>
      <c r="E1171" t="s">
        <v>385</v>
      </c>
    </row>
    <row r="1172" spans="1:5" x14ac:dyDescent="0.3">
      <c r="A1172">
        <v>2170</v>
      </c>
      <c r="B1172" t="s">
        <v>9</v>
      </c>
      <c r="C1172" t="s">
        <v>10</v>
      </c>
      <c r="D1172">
        <v>36651.31</v>
      </c>
      <c r="E1172" t="s">
        <v>465</v>
      </c>
    </row>
    <row r="1173" spans="1:5" x14ac:dyDescent="0.3">
      <c r="A1173">
        <v>2171</v>
      </c>
      <c r="B1173" t="s">
        <v>8</v>
      </c>
      <c r="C1173" t="s">
        <v>11</v>
      </c>
      <c r="D1173">
        <v>55705.18</v>
      </c>
      <c r="E1173" t="s">
        <v>266</v>
      </c>
    </row>
    <row r="1174" spans="1:5" x14ac:dyDescent="0.3">
      <c r="A1174">
        <v>2172</v>
      </c>
      <c r="B1174" t="s">
        <v>8</v>
      </c>
      <c r="C1174" t="s">
        <v>12</v>
      </c>
      <c r="D1174">
        <v>22916.34</v>
      </c>
      <c r="E1174" t="s">
        <v>390</v>
      </c>
    </row>
    <row r="1175" spans="1:5" x14ac:dyDescent="0.3">
      <c r="A1175">
        <v>2173</v>
      </c>
      <c r="B1175" t="s">
        <v>6</v>
      </c>
      <c r="C1175" t="s">
        <v>12</v>
      </c>
      <c r="D1175">
        <v>1483.7</v>
      </c>
      <c r="E1175" t="s">
        <v>709</v>
      </c>
    </row>
    <row r="1176" spans="1:5" x14ac:dyDescent="0.3">
      <c r="A1176">
        <v>2174</v>
      </c>
      <c r="B1176" t="s">
        <v>8</v>
      </c>
      <c r="C1176" t="s">
        <v>13</v>
      </c>
      <c r="D1176">
        <v>56883.07</v>
      </c>
      <c r="E1176" t="s">
        <v>717</v>
      </c>
    </row>
    <row r="1177" spans="1:5" x14ac:dyDescent="0.3">
      <c r="A1177">
        <v>2175</v>
      </c>
      <c r="B1177" t="s">
        <v>8</v>
      </c>
      <c r="C1177" t="s">
        <v>11</v>
      </c>
      <c r="D1177">
        <v>9755.7000000000007</v>
      </c>
      <c r="E1177" t="s">
        <v>718</v>
      </c>
    </row>
    <row r="1178" spans="1:5" x14ac:dyDescent="0.3">
      <c r="A1178">
        <v>2187</v>
      </c>
      <c r="B1178" t="s">
        <v>8</v>
      </c>
      <c r="C1178" t="s">
        <v>12</v>
      </c>
      <c r="D1178">
        <v>20878.39</v>
      </c>
      <c r="E1178" t="s">
        <v>410</v>
      </c>
    </row>
    <row r="1179" spans="1:5" x14ac:dyDescent="0.3">
      <c r="A1179">
        <v>2177</v>
      </c>
      <c r="B1179" t="s">
        <v>5</v>
      </c>
      <c r="C1179" t="s">
        <v>12</v>
      </c>
      <c r="E1179" t="s">
        <v>719</v>
      </c>
    </row>
    <row r="1180" spans="1:5" x14ac:dyDescent="0.3">
      <c r="A1180">
        <v>1599</v>
      </c>
      <c r="B1180" t="s">
        <v>7</v>
      </c>
      <c r="C1180" t="s">
        <v>13</v>
      </c>
      <c r="D1180">
        <v>35778.78</v>
      </c>
      <c r="E1180" t="s">
        <v>720</v>
      </c>
    </row>
    <row r="1181" spans="1:5" x14ac:dyDescent="0.3">
      <c r="A1181">
        <v>2179</v>
      </c>
      <c r="B1181" t="s">
        <v>9</v>
      </c>
      <c r="C1181" t="s">
        <v>10</v>
      </c>
      <c r="D1181">
        <v>30760.84</v>
      </c>
      <c r="E1181" t="s">
        <v>721</v>
      </c>
    </row>
    <row r="1182" spans="1:5" x14ac:dyDescent="0.3">
      <c r="A1182">
        <v>2180</v>
      </c>
      <c r="B1182" t="s">
        <v>6</v>
      </c>
      <c r="C1182" t="s">
        <v>13</v>
      </c>
      <c r="D1182">
        <v>50142.97</v>
      </c>
      <c r="E1182" t="s">
        <v>611</v>
      </c>
    </row>
    <row r="1183" spans="1:5" x14ac:dyDescent="0.3">
      <c r="A1183">
        <v>2181</v>
      </c>
      <c r="B1183" t="s">
        <v>7</v>
      </c>
      <c r="C1183" t="s">
        <v>12</v>
      </c>
      <c r="D1183">
        <v>19481.79</v>
      </c>
      <c r="E1183" t="s">
        <v>722</v>
      </c>
    </row>
    <row r="1184" spans="1:5" x14ac:dyDescent="0.3">
      <c r="A1184">
        <v>2182</v>
      </c>
      <c r="B1184" t="s">
        <v>7</v>
      </c>
      <c r="C1184" t="s">
        <v>13</v>
      </c>
      <c r="D1184">
        <v>39781.81</v>
      </c>
      <c r="E1184" t="s">
        <v>421</v>
      </c>
    </row>
    <row r="1185" spans="1:5" x14ac:dyDescent="0.3">
      <c r="A1185">
        <v>2183</v>
      </c>
      <c r="B1185" t="s">
        <v>8</v>
      </c>
      <c r="C1185" t="s">
        <v>13</v>
      </c>
      <c r="D1185">
        <v>29359.54</v>
      </c>
      <c r="E1185" t="s">
        <v>107</v>
      </c>
    </row>
    <row r="1186" spans="1:5" x14ac:dyDescent="0.3">
      <c r="A1186">
        <v>2184</v>
      </c>
      <c r="B1186" t="s">
        <v>8</v>
      </c>
      <c r="C1186" t="s">
        <v>10</v>
      </c>
      <c r="D1186">
        <v>26478.78</v>
      </c>
      <c r="E1186" t="s">
        <v>723</v>
      </c>
    </row>
    <row r="1187" spans="1:5" x14ac:dyDescent="0.3">
      <c r="A1187">
        <v>2185</v>
      </c>
      <c r="B1187" t="s">
        <v>9</v>
      </c>
      <c r="C1187" t="s">
        <v>11</v>
      </c>
      <c r="D1187">
        <v>42764.959999999999</v>
      </c>
      <c r="E1187" t="s">
        <v>273</v>
      </c>
    </row>
    <row r="1188" spans="1:5" x14ac:dyDescent="0.3">
      <c r="A1188">
        <v>2186</v>
      </c>
      <c r="B1188" t="s">
        <v>8</v>
      </c>
      <c r="C1188" t="s">
        <v>13</v>
      </c>
      <c r="D1188">
        <v>14599.2</v>
      </c>
      <c r="E1188" t="s">
        <v>130</v>
      </c>
    </row>
    <row r="1189" spans="1:5" x14ac:dyDescent="0.3">
      <c r="A1189">
        <v>2187</v>
      </c>
      <c r="B1189" t="s">
        <v>8</v>
      </c>
      <c r="C1189" t="s">
        <v>10</v>
      </c>
      <c r="D1189">
        <v>15686.81</v>
      </c>
      <c r="E1189" t="s">
        <v>649</v>
      </c>
    </row>
    <row r="1190" spans="1:5" x14ac:dyDescent="0.3">
      <c r="A1190">
        <v>2188</v>
      </c>
      <c r="B1190" t="s">
        <v>7</v>
      </c>
      <c r="C1190" t="s">
        <v>13</v>
      </c>
      <c r="D1190">
        <v>16531.52</v>
      </c>
      <c r="E1190" t="s">
        <v>432</v>
      </c>
    </row>
    <row r="1191" spans="1:5" x14ac:dyDescent="0.3">
      <c r="A1191">
        <v>2189</v>
      </c>
      <c r="B1191" t="s">
        <v>5</v>
      </c>
      <c r="C1191" t="s">
        <v>10</v>
      </c>
      <c r="D1191">
        <v>17435.509999999998</v>
      </c>
      <c r="E1191" t="s">
        <v>724</v>
      </c>
    </row>
    <row r="1192" spans="1:5" x14ac:dyDescent="0.3">
      <c r="A1192">
        <v>2190</v>
      </c>
      <c r="B1192" t="s">
        <v>6</v>
      </c>
      <c r="C1192" t="s">
        <v>10</v>
      </c>
      <c r="D1192">
        <v>28833.62</v>
      </c>
      <c r="E1192" t="s">
        <v>725</v>
      </c>
    </row>
    <row r="1193" spans="1:5" x14ac:dyDescent="0.3">
      <c r="A1193">
        <v>2191</v>
      </c>
      <c r="B1193" t="s">
        <v>6</v>
      </c>
      <c r="C1193" t="s">
        <v>11</v>
      </c>
      <c r="D1193">
        <v>31044.13</v>
      </c>
      <c r="E1193" t="s">
        <v>492</v>
      </c>
    </row>
    <row r="1194" spans="1:5" x14ac:dyDescent="0.3">
      <c r="A1194">
        <v>2192</v>
      </c>
      <c r="B1194" t="s">
        <v>8</v>
      </c>
      <c r="C1194" t="s">
        <v>11</v>
      </c>
      <c r="D1194">
        <v>29120.61</v>
      </c>
      <c r="E1194" t="s">
        <v>125</v>
      </c>
    </row>
    <row r="1195" spans="1:5" x14ac:dyDescent="0.3">
      <c r="A1195">
        <v>2193</v>
      </c>
      <c r="B1195" t="s">
        <v>8</v>
      </c>
      <c r="C1195" t="s">
        <v>10</v>
      </c>
      <c r="D1195">
        <v>13908.87</v>
      </c>
      <c r="E1195" t="s">
        <v>726</v>
      </c>
    </row>
    <row r="1196" spans="1:5" x14ac:dyDescent="0.3">
      <c r="A1196">
        <v>2194</v>
      </c>
      <c r="B1196" t="s">
        <v>8</v>
      </c>
      <c r="C1196" t="s">
        <v>11</v>
      </c>
      <c r="E1196" t="s">
        <v>727</v>
      </c>
    </row>
    <row r="1197" spans="1:5" x14ac:dyDescent="0.3">
      <c r="A1197">
        <v>2195</v>
      </c>
      <c r="B1197" t="s">
        <v>8</v>
      </c>
      <c r="C1197" t="s">
        <v>13</v>
      </c>
      <c r="D1197">
        <v>5948.55</v>
      </c>
      <c r="E1197" t="s">
        <v>474</v>
      </c>
    </row>
    <row r="1198" spans="1:5" x14ac:dyDescent="0.3">
      <c r="A1198">
        <v>2196</v>
      </c>
      <c r="B1198" t="s">
        <v>8</v>
      </c>
      <c r="C1198" t="s">
        <v>12</v>
      </c>
      <c r="D1198">
        <v>32520.58</v>
      </c>
      <c r="E1198" t="s">
        <v>665</v>
      </c>
    </row>
    <row r="1199" spans="1:5" x14ac:dyDescent="0.3">
      <c r="A1199">
        <v>2197</v>
      </c>
      <c r="B1199" t="s">
        <v>6</v>
      </c>
      <c r="C1199" t="s">
        <v>11</v>
      </c>
      <c r="D1199">
        <v>56670.35</v>
      </c>
      <c r="E1199" t="s">
        <v>544</v>
      </c>
    </row>
    <row r="1200" spans="1:5" x14ac:dyDescent="0.3">
      <c r="A1200">
        <v>2198</v>
      </c>
      <c r="B1200" t="s">
        <v>6</v>
      </c>
      <c r="C1200" t="s">
        <v>11</v>
      </c>
      <c r="D1200">
        <v>34029.660000000003</v>
      </c>
      <c r="E1200" t="s">
        <v>253</v>
      </c>
    </row>
    <row r="1201" spans="1:5" x14ac:dyDescent="0.3">
      <c r="A1201">
        <v>2199</v>
      </c>
      <c r="B1201" t="s">
        <v>7</v>
      </c>
      <c r="C1201" t="s">
        <v>12</v>
      </c>
      <c r="D1201">
        <v>3647.98</v>
      </c>
      <c r="E1201" t="s">
        <v>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>
      <selection activeCell="C17" sqref="A1:E120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1000</v>
      </c>
      <c r="B2" t="str">
        <f>IF(TRIM(Raw_Data!B2)="","Unknown",PROPER(TRIM(Raw_Data!B2)))</f>
        <v>Monitor</v>
      </c>
      <c r="C2" t="str">
        <f>IF(TRIM(Raw_Data!C2)="","South",TRIM(Raw_Data!C2))</f>
        <v>South</v>
      </c>
      <c r="D2">
        <f>IF(TRIM(Raw_Data!D2)="",30435.80739,Raw_Data!D2)</f>
        <v>10205.1</v>
      </c>
      <c r="E2" t="str">
        <f>TEXT(Raw_Data!E2,"DD-MM-YYYY")</f>
        <v>02-08-2024</v>
      </c>
    </row>
    <row r="3" spans="1:5" x14ac:dyDescent="0.3">
      <c r="A3">
        <v>1001</v>
      </c>
      <c r="B3" t="str">
        <f>IF(TRIM(Raw_Data!B3)="","Unknown",PROPER(TRIM(Raw_Data!B3)))</f>
        <v>Laptop</v>
      </c>
      <c r="C3" t="str">
        <f>IF(TRIM(Raw_Data!C3)="","South",TRIM(Raw_Data!C3))</f>
        <v>East</v>
      </c>
      <c r="D3">
        <f>IF(TRIM(Raw_Data!D3)="",30435.80739,Raw_Data!D3)</f>
        <v>30435.807390000002</v>
      </c>
      <c r="E3" t="str">
        <f>TEXT(Raw_Data!E3,"DD-MM-YYYY")</f>
        <v>14-09-2024</v>
      </c>
    </row>
    <row r="4" spans="1:5" x14ac:dyDescent="0.3">
      <c r="A4">
        <v>1084</v>
      </c>
      <c r="B4" t="str">
        <f>IF(TRIM(Raw_Data!B4)="","Unknown",PROPER(TRIM(Raw_Data!B4)))</f>
        <v>Laptop</v>
      </c>
      <c r="C4" t="str">
        <f>IF(TRIM(Raw_Data!C4)="","South",TRIM(Raw_Data!C4))</f>
        <v>West</v>
      </c>
      <c r="D4">
        <f>IF(TRIM(Raw_Data!D4)="",30435.80739,Raw_Data!D4)</f>
        <v>1416.91</v>
      </c>
      <c r="E4" t="str">
        <f>TEXT(Raw_Data!E4,"DD-MM-YYYY")</f>
        <v>10-12-2024</v>
      </c>
    </row>
    <row r="5" spans="1:5" x14ac:dyDescent="0.3">
      <c r="A5">
        <v>1003</v>
      </c>
      <c r="B5" t="str">
        <f>IF(TRIM(Raw_Data!B5)="","Unknown",PROPER(TRIM(Raw_Data!B5)))</f>
        <v>Laptop</v>
      </c>
      <c r="C5" t="str">
        <f>IF(TRIM(Raw_Data!C5)="","South",TRIM(Raw_Data!C5))</f>
        <v>North</v>
      </c>
      <c r="D5">
        <f>IF(TRIM(Raw_Data!D5)="",30435.80739,Raw_Data!D5)</f>
        <v>27908.13</v>
      </c>
      <c r="E5" t="str">
        <f>TEXT(Raw_Data!E5,"DD-MM-YYYY")</f>
        <v>23-06-2024</v>
      </c>
    </row>
    <row r="6" spans="1:5" x14ac:dyDescent="0.3">
      <c r="A6">
        <v>1004</v>
      </c>
      <c r="B6" t="str">
        <f>IF(TRIM(Raw_Data!B6)="","Unknown",PROPER(TRIM(Raw_Data!B6)))</f>
        <v>Tablet</v>
      </c>
      <c r="C6" t="str">
        <f>IF(TRIM(Raw_Data!C6)="","South",TRIM(Raw_Data!C6))</f>
        <v>South</v>
      </c>
      <c r="D6">
        <f>IF(TRIM(Raw_Data!D6)="",30435.80739,Raw_Data!D6)</f>
        <v>27579.46</v>
      </c>
      <c r="E6" t="str">
        <f>TEXT(Raw_Data!E6,"DD-MM-YYYY")</f>
        <v>30-09-2024</v>
      </c>
    </row>
    <row r="7" spans="1:5" x14ac:dyDescent="0.3">
      <c r="A7">
        <v>1005</v>
      </c>
      <c r="B7" t="str">
        <f>IF(TRIM(Raw_Data!B7)="","Unknown",PROPER(TRIM(Raw_Data!B7)))</f>
        <v>Mouse</v>
      </c>
      <c r="C7" t="str">
        <f>IF(TRIM(Raw_Data!C7)="","South",TRIM(Raw_Data!C7))</f>
        <v>West</v>
      </c>
      <c r="D7">
        <f>IF(TRIM(Raw_Data!D7)="",30435.80739,Raw_Data!D7)</f>
        <v>26969</v>
      </c>
      <c r="E7" t="str">
        <f>TEXT(Raw_Data!E7,"DD-MM-YYYY")</f>
        <v>20-09-2024</v>
      </c>
    </row>
    <row r="8" spans="1:5" x14ac:dyDescent="0.3">
      <c r="A8">
        <v>1006</v>
      </c>
      <c r="B8" t="str">
        <f>IF(TRIM(Raw_Data!B8)="","Unknown",PROPER(TRIM(Raw_Data!B8)))</f>
        <v>Tablet</v>
      </c>
      <c r="C8" t="str">
        <f>IF(TRIM(Raw_Data!C8)="","South",TRIM(Raw_Data!C8))</f>
        <v>East</v>
      </c>
      <c r="D8">
        <f>IF(TRIM(Raw_Data!D8)="",30435.80739,Raw_Data!D8)</f>
        <v>31684.01</v>
      </c>
      <c r="E8" t="str">
        <f>TEXT(Raw_Data!E8,"DD-MM-YYYY")</f>
        <v>15-04-2024</v>
      </c>
    </row>
    <row r="9" spans="1:5" x14ac:dyDescent="0.3">
      <c r="A9">
        <v>1007</v>
      </c>
      <c r="B9" t="str">
        <f>IF(TRIM(Raw_Data!B9)="","Unknown",PROPER(TRIM(Raw_Data!B9)))</f>
        <v>Mouse</v>
      </c>
      <c r="C9" t="str">
        <f>IF(TRIM(Raw_Data!C9)="","South",TRIM(Raw_Data!C9))</f>
        <v>East</v>
      </c>
      <c r="D9">
        <f>IF(TRIM(Raw_Data!D9)="",30435.80739,Raw_Data!D9)</f>
        <v>43909.05</v>
      </c>
      <c r="E9" t="str">
        <f>TEXT(Raw_Data!E9,"DD-MM-YYYY")</f>
        <v>27-09-2024</v>
      </c>
    </row>
    <row r="10" spans="1:5" x14ac:dyDescent="0.3">
      <c r="A10">
        <v>1008</v>
      </c>
      <c r="B10" t="str">
        <f>IF(TRIM(Raw_Data!B10)="","Unknown",PROPER(TRIM(Raw_Data!B10)))</f>
        <v>Unknown</v>
      </c>
      <c r="C10" t="str">
        <f>IF(TRIM(Raw_Data!C10)="","South",TRIM(Raw_Data!C10))</f>
        <v>East</v>
      </c>
      <c r="D10">
        <f>IF(TRIM(Raw_Data!D10)="",30435.80739,Raw_Data!D10)</f>
        <v>17009.59</v>
      </c>
      <c r="E10" t="str">
        <f>TEXT(Raw_Data!E10,"DD-MM-YYYY")</f>
        <v>22-02-2024</v>
      </c>
    </row>
    <row r="11" spans="1:5" x14ac:dyDescent="0.3">
      <c r="A11">
        <v>1009</v>
      </c>
      <c r="B11" t="str">
        <f>IF(TRIM(Raw_Data!B11)="","Unknown",PROPER(TRIM(Raw_Data!B11)))</f>
        <v>Tablet</v>
      </c>
      <c r="C11" t="str">
        <f>IF(TRIM(Raw_Data!C11)="","South",TRIM(Raw_Data!C11))</f>
        <v>West</v>
      </c>
      <c r="D11">
        <f>IF(TRIM(Raw_Data!D11)="",30435.80739,Raw_Data!D11)</f>
        <v>1922.55</v>
      </c>
      <c r="E11" t="str">
        <f>TEXT(Raw_Data!E11,"DD-MM-YYYY")</f>
        <v>09-01-2024</v>
      </c>
    </row>
    <row r="12" spans="1:5" x14ac:dyDescent="0.3">
      <c r="A12">
        <v>1542</v>
      </c>
      <c r="B12" t="str">
        <f>IF(TRIM(Raw_Data!B12)="","Unknown",PROPER(TRIM(Raw_Data!B12)))</f>
        <v>Keyboard</v>
      </c>
      <c r="C12" t="str">
        <f>IF(TRIM(Raw_Data!C12)="","South",TRIM(Raw_Data!C12))</f>
        <v>North</v>
      </c>
      <c r="D12">
        <f>IF(TRIM(Raw_Data!D12)="",30435.80739,Raw_Data!D12)</f>
        <v>46504.95</v>
      </c>
      <c r="E12" t="str">
        <f>TEXT(Raw_Data!E12,"DD-MM-YYYY")</f>
        <v>17-09-2024</v>
      </c>
    </row>
    <row r="13" spans="1:5" x14ac:dyDescent="0.3">
      <c r="A13">
        <v>1011</v>
      </c>
      <c r="B13" t="str">
        <f>IF(TRIM(Raw_Data!B13)="","Unknown",PROPER(TRIM(Raw_Data!B13)))</f>
        <v>Laptop</v>
      </c>
      <c r="C13" t="str">
        <f>IF(TRIM(Raw_Data!C13)="","South",TRIM(Raw_Data!C13))</f>
        <v>North</v>
      </c>
      <c r="D13">
        <f>IF(TRIM(Raw_Data!D13)="",30435.80739,Raw_Data!D13)</f>
        <v>22878.28</v>
      </c>
      <c r="E13" t="str">
        <f>TEXT(Raw_Data!E13,"DD-MM-YYYY")</f>
        <v>02-03-2024</v>
      </c>
    </row>
    <row r="14" spans="1:5" x14ac:dyDescent="0.3">
      <c r="A14">
        <v>1012</v>
      </c>
      <c r="B14" t="str">
        <f>IF(TRIM(Raw_Data!B14)="","Unknown",PROPER(TRIM(Raw_Data!B14)))</f>
        <v>Laptop</v>
      </c>
      <c r="C14" t="str">
        <f>IF(TRIM(Raw_Data!C14)="","South",TRIM(Raw_Data!C14))</f>
        <v>North</v>
      </c>
      <c r="D14">
        <f>IF(TRIM(Raw_Data!D14)="",30435.80739,Raw_Data!D14)</f>
        <v>43081.440000000002</v>
      </c>
      <c r="E14" t="str">
        <f>TEXT(Raw_Data!E14,"DD-MM-YYYY")</f>
        <v>13-09-2024</v>
      </c>
    </row>
    <row r="15" spans="1:5" x14ac:dyDescent="0.3">
      <c r="A15">
        <v>1013</v>
      </c>
      <c r="B15" t="str">
        <f>IF(TRIM(Raw_Data!B15)="","Unknown",PROPER(TRIM(Raw_Data!B15)))</f>
        <v>Unknown</v>
      </c>
      <c r="C15" t="str">
        <f>IF(TRIM(Raw_Data!C15)="","South",TRIM(Raw_Data!C15))</f>
        <v>West</v>
      </c>
      <c r="D15">
        <f>IF(TRIM(Raw_Data!D15)="",30435.80739,Raw_Data!D15)</f>
        <v>26920.85</v>
      </c>
      <c r="E15" t="str">
        <f>TEXT(Raw_Data!E15,"DD-MM-YYYY")</f>
        <v>27-06-2024</v>
      </c>
    </row>
    <row r="16" spans="1:5" x14ac:dyDescent="0.3">
      <c r="A16">
        <v>1014</v>
      </c>
      <c r="B16" t="str">
        <f>IF(TRIM(Raw_Data!B16)="","Unknown",PROPER(TRIM(Raw_Data!B16)))</f>
        <v>Laptop</v>
      </c>
      <c r="C16" t="str">
        <f>IF(TRIM(Raw_Data!C16)="","South",TRIM(Raw_Data!C16))</f>
        <v>West</v>
      </c>
      <c r="D16">
        <f>IF(TRIM(Raw_Data!D16)="",30435.80739,Raw_Data!D16)</f>
        <v>15708.24</v>
      </c>
      <c r="E16" t="str">
        <f>TEXT(Raw_Data!E16,"DD-MM-YYYY")</f>
        <v>24-08-2024</v>
      </c>
    </row>
    <row r="17" spans="1:5" x14ac:dyDescent="0.3">
      <c r="A17">
        <v>1015</v>
      </c>
      <c r="B17" t="str">
        <f>IF(TRIM(Raw_Data!B17)="","Unknown",PROPER(TRIM(Raw_Data!B17)))</f>
        <v>Laptop</v>
      </c>
      <c r="C17" t="str">
        <f>IF(TRIM(Raw_Data!C17)="","South",TRIM(Raw_Data!C17))</f>
        <v>East</v>
      </c>
      <c r="D17">
        <f>IF(TRIM(Raw_Data!D17)="",30435.80739,Raw_Data!D17)</f>
        <v>37836.89</v>
      </c>
      <c r="E17" t="str">
        <f>TEXT(Raw_Data!E17,"DD-MM-YYYY")</f>
        <v>02-03-2024</v>
      </c>
    </row>
    <row r="18" spans="1:5" x14ac:dyDescent="0.3">
      <c r="A18">
        <v>1016</v>
      </c>
      <c r="B18" t="str">
        <f>IF(TRIM(Raw_Data!B18)="","Unknown",PROPER(TRIM(Raw_Data!B18)))</f>
        <v>Tablet</v>
      </c>
      <c r="C18" t="str">
        <f>IF(TRIM(Raw_Data!C18)="","South",TRIM(Raw_Data!C18))</f>
        <v>South</v>
      </c>
      <c r="D18">
        <f>IF(TRIM(Raw_Data!D18)="",30435.80739,Raw_Data!D18)</f>
        <v>48638.97</v>
      </c>
      <c r="E18" t="str">
        <f>TEXT(Raw_Data!E18,"DD-MM-YYYY")</f>
        <v>13-12-2024</v>
      </c>
    </row>
    <row r="19" spans="1:5" x14ac:dyDescent="0.3">
      <c r="A19">
        <v>1017</v>
      </c>
      <c r="B19" t="str">
        <f>IF(TRIM(Raw_Data!B19)="","Unknown",PROPER(TRIM(Raw_Data!B19)))</f>
        <v>Keyboard</v>
      </c>
      <c r="C19" t="str">
        <f>IF(TRIM(Raw_Data!C19)="","South",TRIM(Raw_Data!C19))</f>
        <v>South</v>
      </c>
      <c r="D19">
        <f>IF(TRIM(Raw_Data!D19)="",30435.80739,Raw_Data!D19)</f>
        <v>18982.09</v>
      </c>
      <c r="E19" t="str">
        <f>TEXT(Raw_Data!E19,"DD-MM-YYYY")</f>
        <v>16-07-2024</v>
      </c>
    </row>
    <row r="20" spans="1:5" x14ac:dyDescent="0.3">
      <c r="A20">
        <v>1018</v>
      </c>
      <c r="B20" t="str">
        <f>IF(TRIM(Raw_Data!B20)="","Unknown",PROPER(TRIM(Raw_Data!B20)))</f>
        <v>Laptop</v>
      </c>
      <c r="C20" t="str">
        <f>IF(TRIM(Raw_Data!C20)="","South",TRIM(Raw_Data!C20))</f>
        <v>North</v>
      </c>
      <c r="D20">
        <f>IF(TRIM(Raw_Data!D20)="",30435.80739,Raw_Data!D20)</f>
        <v>20068.97</v>
      </c>
      <c r="E20" t="str">
        <f>TEXT(Raw_Data!E20,"DD-MM-YYYY")</f>
        <v>05-04-2024</v>
      </c>
    </row>
    <row r="21" spans="1:5" x14ac:dyDescent="0.3">
      <c r="A21">
        <v>1019</v>
      </c>
      <c r="B21" t="str">
        <f>IF(TRIM(Raw_Data!B21)="","Unknown",PROPER(TRIM(Raw_Data!B21)))</f>
        <v>Laptop</v>
      </c>
      <c r="C21" t="str">
        <f>IF(TRIM(Raw_Data!C21)="","South",TRIM(Raw_Data!C21))</f>
        <v>North</v>
      </c>
      <c r="D21">
        <f>IF(TRIM(Raw_Data!D21)="",30435.80739,Raw_Data!D21)</f>
        <v>43023.96</v>
      </c>
      <c r="E21" t="str">
        <f>TEXT(Raw_Data!E21,"DD-MM-YYYY")</f>
        <v>10-04-2024</v>
      </c>
    </row>
    <row r="22" spans="1:5" x14ac:dyDescent="0.3">
      <c r="A22">
        <v>1020</v>
      </c>
      <c r="B22" t="str">
        <f>IF(TRIM(Raw_Data!B22)="","Unknown",PROPER(TRIM(Raw_Data!B22)))</f>
        <v>Monitor</v>
      </c>
      <c r="C22" t="str">
        <f>IF(TRIM(Raw_Data!C22)="","South",TRIM(Raw_Data!C22))</f>
        <v>East</v>
      </c>
      <c r="D22">
        <f>IF(TRIM(Raw_Data!D22)="",30435.80739,Raw_Data!D22)</f>
        <v>17440.14</v>
      </c>
      <c r="E22" t="str">
        <f>TEXT(Raw_Data!E22,"DD-MM-YYYY")</f>
        <v>12-08-2024</v>
      </c>
    </row>
    <row r="23" spans="1:5" x14ac:dyDescent="0.3">
      <c r="A23">
        <v>1021</v>
      </c>
      <c r="B23" t="str">
        <f>IF(TRIM(Raw_Data!B23)="","Unknown",PROPER(TRIM(Raw_Data!B23)))</f>
        <v>Laptop</v>
      </c>
      <c r="C23" t="str">
        <f>IF(TRIM(Raw_Data!C23)="","South",TRIM(Raw_Data!C23))</f>
        <v>South</v>
      </c>
      <c r="D23">
        <f>IF(TRIM(Raw_Data!D23)="",30435.80739,Raw_Data!D23)</f>
        <v>5770.35</v>
      </c>
      <c r="E23" t="str">
        <f>TEXT(Raw_Data!E23,"DD-MM-YYYY")</f>
        <v>02-07-2024</v>
      </c>
    </row>
    <row r="24" spans="1:5" x14ac:dyDescent="0.3">
      <c r="A24">
        <v>1022</v>
      </c>
      <c r="B24" t="str">
        <f>IF(TRIM(Raw_Data!B24)="","Unknown",PROPER(TRIM(Raw_Data!B24)))</f>
        <v>Monitor</v>
      </c>
      <c r="C24" t="str">
        <f>IF(TRIM(Raw_Data!C24)="","South",TRIM(Raw_Data!C24))</f>
        <v>East</v>
      </c>
      <c r="D24">
        <f>IF(TRIM(Raw_Data!D24)="",30435.80739,Raw_Data!D24)</f>
        <v>32610.71</v>
      </c>
      <c r="E24" t="str">
        <f>TEXT(Raw_Data!E24,"DD-MM-YYYY")</f>
        <v>27-08-2024</v>
      </c>
    </row>
    <row r="25" spans="1:5" x14ac:dyDescent="0.3">
      <c r="A25">
        <v>1023</v>
      </c>
      <c r="B25" t="str">
        <f>IF(TRIM(Raw_Data!B25)="","Unknown",PROPER(TRIM(Raw_Data!B25)))</f>
        <v>Mouse</v>
      </c>
      <c r="C25" t="str">
        <f>IF(TRIM(Raw_Data!C25)="","South",TRIM(Raw_Data!C25))</f>
        <v>West</v>
      </c>
      <c r="D25">
        <f>IF(TRIM(Raw_Data!D25)="",30435.80739,Raw_Data!D25)</f>
        <v>13994.22</v>
      </c>
      <c r="E25" t="str">
        <f>TEXT(Raw_Data!E25,"DD-MM-YYYY")</f>
        <v>11-12-2024</v>
      </c>
    </row>
    <row r="26" spans="1:5" x14ac:dyDescent="0.3">
      <c r="A26">
        <v>1024</v>
      </c>
      <c r="B26" t="str">
        <f>IF(TRIM(Raw_Data!B26)="","Unknown",PROPER(TRIM(Raw_Data!B26)))</f>
        <v>Mouse</v>
      </c>
      <c r="C26" t="str">
        <f>IF(TRIM(Raw_Data!C26)="","South",TRIM(Raw_Data!C26))</f>
        <v>North</v>
      </c>
      <c r="D26">
        <f>IF(TRIM(Raw_Data!D26)="",30435.80739,Raw_Data!D26)</f>
        <v>56267.07</v>
      </c>
      <c r="E26" t="str">
        <f>TEXT(Raw_Data!E26,"DD-MM-YYYY")</f>
        <v>08-05-2024</v>
      </c>
    </row>
    <row r="27" spans="1:5" x14ac:dyDescent="0.3">
      <c r="A27">
        <v>1025</v>
      </c>
      <c r="B27" t="str">
        <f>IF(TRIM(Raw_Data!B27)="","Unknown",PROPER(TRIM(Raw_Data!B27)))</f>
        <v>Mouse</v>
      </c>
      <c r="C27" t="str">
        <f>IF(TRIM(Raw_Data!C27)="","South",TRIM(Raw_Data!C27))</f>
        <v>East</v>
      </c>
      <c r="D27">
        <f>IF(TRIM(Raw_Data!D27)="",30435.80739,Raw_Data!D27)</f>
        <v>11322.34</v>
      </c>
      <c r="E27" t="str">
        <f>TEXT(Raw_Data!E27,"DD-MM-YYYY")</f>
        <v>21-04-2024</v>
      </c>
    </row>
    <row r="28" spans="1:5" x14ac:dyDescent="0.3">
      <c r="A28">
        <v>1026</v>
      </c>
      <c r="B28" t="str">
        <f>IF(TRIM(Raw_Data!B28)="","Unknown",PROPER(TRIM(Raw_Data!B28)))</f>
        <v>Keyboard</v>
      </c>
      <c r="C28" t="str">
        <f>IF(TRIM(Raw_Data!C28)="","South",TRIM(Raw_Data!C28))</f>
        <v>South</v>
      </c>
      <c r="D28">
        <f>IF(TRIM(Raw_Data!D28)="",30435.80739,Raw_Data!D28)</f>
        <v>38352.99</v>
      </c>
      <c r="E28" t="str">
        <f>TEXT(Raw_Data!E28,"DD-MM-YYYY")</f>
        <v>09-01-2024</v>
      </c>
    </row>
    <row r="29" spans="1:5" x14ac:dyDescent="0.3">
      <c r="A29">
        <v>1027</v>
      </c>
      <c r="B29" t="str">
        <f>IF(TRIM(Raw_Data!B29)="","Unknown",PROPER(TRIM(Raw_Data!B29)))</f>
        <v>Keyboard</v>
      </c>
      <c r="C29" t="str">
        <f>IF(TRIM(Raw_Data!C29)="","South",TRIM(Raw_Data!C29))</f>
        <v>North</v>
      </c>
      <c r="D29">
        <f>IF(TRIM(Raw_Data!D29)="",30435.80739,Raw_Data!D29)</f>
        <v>53378.44</v>
      </c>
      <c r="E29" t="str">
        <f>TEXT(Raw_Data!E29,"DD-MM-YYYY")</f>
        <v>25-04-2024</v>
      </c>
    </row>
    <row r="30" spans="1:5" x14ac:dyDescent="0.3">
      <c r="A30">
        <v>1028</v>
      </c>
      <c r="B30" t="str">
        <f>IF(TRIM(Raw_Data!B30)="","Unknown",PROPER(TRIM(Raw_Data!B30)))</f>
        <v>Tablet</v>
      </c>
      <c r="C30" t="str">
        <f>IF(TRIM(Raw_Data!C30)="","South",TRIM(Raw_Data!C30))</f>
        <v>East</v>
      </c>
      <c r="D30">
        <f>IF(TRIM(Raw_Data!D30)="",30435.80739,Raw_Data!D30)</f>
        <v>30435.807390000002</v>
      </c>
      <c r="E30" t="str">
        <f>TEXT(Raw_Data!E30,"DD-MM-YYYY")</f>
        <v>08-04-2024</v>
      </c>
    </row>
    <row r="31" spans="1:5" x14ac:dyDescent="0.3">
      <c r="A31">
        <v>1029</v>
      </c>
      <c r="B31" t="str">
        <f>IF(TRIM(Raw_Data!B31)="","Unknown",PROPER(TRIM(Raw_Data!B31)))</f>
        <v>Monitor</v>
      </c>
      <c r="C31" t="str">
        <f>IF(TRIM(Raw_Data!C31)="","South",TRIM(Raw_Data!C31))</f>
        <v>South</v>
      </c>
      <c r="D31">
        <f>IF(TRIM(Raw_Data!D31)="",30435.80739,Raw_Data!D31)</f>
        <v>11379.59</v>
      </c>
      <c r="E31" t="str">
        <f>TEXT(Raw_Data!E31,"DD-MM-YYYY")</f>
        <v>08-03-2024</v>
      </c>
    </row>
    <row r="32" spans="1:5" x14ac:dyDescent="0.3">
      <c r="A32">
        <v>1030</v>
      </c>
      <c r="B32" t="str">
        <f>IF(TRIM(Raw_Data!B32)="","Unknown",PROPER(TRIM(Raw_Data!B32)))</f>
        <v>Keyboard</v>
      </c>
      <c r="C32" t="str">
        <f>IF(TRIM(Raw_Data!C32)="","South",TRIM(Raw_Data!C32))</f>
        <v>North</v>
      </c>
      <c r="D32">
        <f>IF(TRIM(Raw_Data!D32)="",30435.80739,Raw_Data!D32)</f>
        <v>39799.160000000003</v>
      </c>
      <c r="E32" t="str">
        <f>TEXT(Raw_Data!E32,"DD-MM-YYYY")</f>
        <v>02-02-2024</v>
      </c>
    </row>
    <row r="33" spans="1:5" x14ac:dyDescent="0.3">
      <c r="A33">
        <v>1031</v>
      </c>
      <c r="B33" t="str">
        <f>IF(TRIM(Raw_Data!B33)="","Unknown",PROPER(TRIM(Raw_Data!B33)))</f>
        <v>Monitor</v>
      </c>
      <c r="C33" t="str">
        <f>IF(TRIM(Raw_Data!C33)="","South",TRIM(Raw_Data!C33))</f>
        <v>West</v>
      </c>
      <c r="D33">
        <f>IF(TRIM(Raw_Data!D33)="",30435.80739,Raw_Data!D33)</f>
        <v>29717.79</v>
      </c>
      <c r="E33" t="str">
        <f>TEXT(Raw_Data!E33,"DD-MM-YYYY")</f>
        <v>20-09-2024</v>
      </c>
    </row>
    <row r="34" spans="1:5" x14ac:dyDescent="0.3">
      <c r="A34">
        <v>1032</v>
      </c>
      <c r="B34" t="str">
        <f>IF(TRIM(Raw_Data!B34)="","Unknown",PROPER(TRIM(Raw_Data!B34)))</f>
        <v>Monitor</v>
      </c>
      <c r="C34" t="str">
        <f>IF(TRIM(Raw_Data!C34)="","South",TRIM(Raw_Data!C34))</f>
        <v>West</v>
      </c>
      <c r="D34">
        <f>IF(TRIM(Raw_Data!D34)="",30435.80739,Raw_Data!D34)</f>
        <v>43624.67</v>
      </c>
      <c r="E34" t="str">
        <f>TEXT(Raw_Data!E34,"DD-MM-YYYY")</f>
        <v>26-05-2024</v>
      </c>
    </row>
    <row r="35" spans="1:5" x14ac:dyDescent="0.3">
      <c r="A35">
        <v>1033</v>
      </c>
      <c r="B35" t="str">
        <f>IF(TRIM(Raw_Data!B35)="","Unknown",PROPER(TRIM(Raw_Data!B35)))</f>
        <v>Keyboard</v>
      </c>
      <c r="C35" t="str">
        <f>IF(TRIM(Raw_Data!C35)="","South",TRIM(Raw_Data!C35))</f>
        <v>South</v>
      </c>
      <c r="D35">
        <f>IF(TRIM(Raw_Data!D35)="",30435.80739,Raw_Data!D35)</f>
        <v>53126.15</v>
      </c>
      <c r="E35" t="str">
        <f>TEXT(Raw_Data!E35,"DD-MM-YYYY")</f>
        <v>20-08-2024</v>
      </c>
    </row>
    <row r="36" spans="1:5" x14ac:dyDescent="0.3">
      <c r="A36">
        <v>1034</v>
      </c>
      <c r="B36" t="str">
        <f>IF(TRIM(Raw_Data!B36)="","Unknown",PROPER(TRIM(Raw_Data!B36)))</f>
        <v>Mouse</v>
      </c>
      <c r="C36" t="str">
        <f>IF(TRIM(Raw_Data!C36)="","South",TRIM(Raw_Data!C36))</f>
        <v>North</v>
      </c>
      <c r="D36">
        <f>IF(TRIM(Raw_Data!D36)="",30435.80739,Raw_Data!D36)</f>
        <v>19036.12</v>
      </c>
      <c r="E36" t="str">
        <f>TEXT(Raw_Data!E36,"DD-MM-YYYY")</f>
        <v>09-06-2024</v>
      </c>
    </row>
    <row r="37" spans="1:5" x14ac:dyDescent="0.3">
      <c r="A37">
        <v>1035</v>
      </c>
      <c r="B37" t="str">
        <f>IF(TRIM(Raw_Data!B37)="","Unknown",PROPER(TRIM(Raw_Data!B37)))</f>
        <v>Keyboard</v>
      </c>
      <c r="C37" t="str">
        <f>IF(TRIM(Raw_Data!C37)="","South",TRIM(Raw_Data!C37))</f>
        <v>South</v>
      </c>
      <c r="D37">
        <f>IF(TRIM(Raw_Data!D37)="",30435.80739,Raw_Data!D37)</f>
        <v>6733.41</v>
      </c>
      <c r="E37" t="str">
        <f>TEXT(Raw_Data!E37,"DD-MM-YYYY")</f>
        <v>14-10-2024</v>
      </c>
    </row>
    <row r="38" spans="1:5" x14ac:dyDescent="0.3">
      <c r="A38">
        <v>1036</v>
      </c>
      <c r="B38" t="str">
        <f>IF(TRIM(Raw_Data!B38)="","Unknown",PROPER(TRIM(Raw_Data!B38)))</f>
        <v>Keyboard</v>
      </c>
      <c r="C38" t="str">
        <f>IF(TRIM(Raw_Data!C38)="","South",TRIM(Raw_Data!C38))</f>
        <v>South</v>
      </c>
      <c r="D38">
        <f>IF(TRIM(Raw_Data!D38)="",30435.80739,Raw_Data!D38)</f>
        <v>9060.66</v>
      </c>
      <c r="E38" t="str">
        <f>TEXT(Raw_Data!E38,"DD-MM-YYYY")</f>
        <v>02-09-2024</v>
      </c>
    </row>
    <row r="39" spans="1:5" x14ac:dyDescent="0.3">
      <c r="A39">
        <v>1037</v>
      </c>
      <c r="B39" t="str">
        <f>IF(TRIM(Raw_Data!B39)="","Unknown",PROPER(TRIM(Raw_Data!B39)))</f>
        <v>Mouse</v>
      </c>
      <c r="C39" t="str">
        <f>IF(TRIM(Raw_Data!C39)="","South",TRIM(Raw_Data!C39))</f>
        <v>South</v>
      </c>
      <c r="D39">
        <f>IF(TRIM(Raw_Data!D39)="",30435.80739,Raw_Data!D39)</f>
        <v>31169.200000000001</v>
      </c>
      <c r="E39" t="str">
        <f>TEXT(Raw_Data!E39,"DD-MM-YYYY")</f>
        <v>08-11-2024</v>
      </c>
    </row>
    <row r="40" spans="1:5" x14ac:dyDescent="0.3">
      <c r="A40">
        <v>1038</v>
      </c>
      <c r="B40" t="str">
        <f>IF(TRIM(Raw_Data!B40)="","Unknown",PROPER(TRIM(Raw_Data!B40)))</f>
        <v>Monitor</v>
      </c>
      <c r="C40" t="str">
        <f>IF(TRIM(Raw_Data!C40)="","South",TRIM(Raw_Data!C40))</f>
        <v>East</v>
      </c>
      <c r="D40">
        <f>IF(TRIM(Raw_Data!D40)="",30435.80739,Raw_Data!D40)</f>
        <v>2629.39</v>
      </c>
      <c r="E40" t="str">
        <f>TEXT(Raw_Data!E40,"DD-MM-YYYY")</f>
        <v>19-12-2024</v>
      </c>
    </row>
    <row r="41" spans="1:5" x14ac:dyDescent="0.3">
      <c r="A41">
        <v>1039</v>
      </c>
      <c r="B41" t="str">
        <f>IF(TRIM(Raw_Data!B41)="","Unknown",PROPER(TRIM(Raw_Data!B41)))</f>
        <v>Unknown</v>
      </c>
      <c r="C41" t="str">
        <f>IF(TRIM(Raw_Data!C41)="","South",TRIM(Raw_Data!C41))</f>
        <v>East</v>
      </c>
      <c r="D41">
        <f>IF(TRIM(Raw_Data!D41)="",30435.80739,Raw_Data!D41)</f>
        <v>17905.93</v>
      </c>
      <c r="E41" t="str">
        <f>TEXT(Raw_Data!E41,"DD-MM-YYYY")</f>
        <v>09-11-2024</v>
      </c>
    </row>
    <row r="42" spans="1:5" x14ac:dyDescent="0.3">
      <c r="A42">
        <v>1040</v>
      </c>
      <c r="B42" t="str">
        <f>IF(TRIM(Raw_Data!B42)="","Unknown",PROPER(TRIM(Raw_Data!B42)))</f>
        <v>Mouse</v>
      </c>
      <c r="C42" t="str">
        <f>IF(TRIM(Raw_Data!C42)="","South",TRIM(Raw_Data!C42))</f>
        <v>East</v>
      </c>
      <c r="D42">
        <f>IF(TRIM(Raw_Data!D42)="",30435.80739,Raw_Data!D42)</f>
        <v>49844.27</v>
      </c>
      <c r="E42" t="str">
        <f>TEXT(Raw_Data!E42,"DD-MM-YYYY")</f>
        <v>29-02-2024</v>
      </c>
    </row>
    <row r="43" spans="1:5" x14ac:dyDescent="0.3">
      <c r="A43">
        <v>1041</v>
      </c>
      <c r="B43" t="str">
        <f>IF(TRIM(Raw_Data!B43)="","Unknown",PROPER(TRIM(Raw_Data!B43)))</f>
        <v>Laptop</v>
      </c>
      <c r="C43" t="str">
        <f>IF(TRIM(Raw_Data!C43)="","South",TRIM(Raw_Data!C43))</f>
        <v>East</v>
      </c>
      <c r="D43">
        <f>IF(TRIM(Raw_Data!D43)="",30435.80739,Raw_Data!D43)</f>
        <v>32897.47</v>
      </c>
      <c r="E43" t="str">
        <f>TEXT(Raw_Data!E43,"DD-MM-YYYY")</f>
        <v>06-11-2024</v>
      </c>
    </row>
    <row r="44" spans="1:5" x14ac:dyDescent="0.3">
      <c r="A44">
        <v>1042</v>
      </c>
      <c r="B44" t="str">
        <f>IF(TRIM(Raw_Data!B44)="","Unknown",PROPER(TRIM(Raw_Data!B44)))</f>
        <v>Tablet</v>
      </c>
      <c r="C44" t="str">
        <f>IF(TRIM(Raw_Data!C44)="","South",TRIM(Raw_Data!C44))</f>
        <v>East</v>
      </c>
      <c r="D44">
        <f>IF(TRIM(Raw_Data!D44)="",30435.80739,Raw_Data!D44)</f>
        <v>30435.807390000002</v>
      </c>
      <c r="E44" t="str">
        <f>TEXT(Raw_Data!E44,"DD-MM-YYYY")</f>
        <v>29-04-2024</v>
      </c>
    </row>
    <row r="45" spans="1:5" x14ac:dyDescent="0.3">
      <c r="A45">
        <v>1043</v>
      </c>
      <c r="B45" t="str">
        <f>IF(TRIM(Raw_Data!B45)="","Unknown",PROPER(TRIM(Raw_Data!B45)))</f>
        <v>Monitor</v>
      </c>
      <c r="C45" t="str">
        <f>IF(TRIM(Raw_Data!C45)="","South",TRIM(Raw_Data!C45))</f>
        <v>South</v>
      </c>
      <c r="D45">
        <f>IF(TRIM(Raw_Data!D45)="",30435.80739,Raw_Data!D45)</f>
        <v>50322.83</v>
      </c>
      <c r="E45" t="str">
        <f>TEXT(Raw_Data!E45,"DD-MM-YYYY")</f>
        <v>08-05-2024</v>
      </c>
    </row>
    <row r="46" spans="1:5" x14ac:dyDescent="0.3">
      <c r="A46">
        <v>1044</v>
      </c>
      <c r="B46" t="str">
        <f>IF(TRIM(Raw_Data!B46)="","Unknown",PROPER(TRIM(Raw_Data!B46)))</f>
        <v>Laptop</v>
      </c>
      <c r="C46" t="str">
        <f>IF(TRIM(Raw_Data!C46)="","South",TRIM(Raw_Data!C46))</f>
        <v>West</v>
      </c>
      <c r="D46">
        <f>IF(TRIM(Raw_Data!D46)="",30435.80739,Raw_Data!D46)</f>
        <v>39951.65</v>
      </c>
      <c r="E46" t="str">
        <f>TEXT(Raw_Data!E46,"DD-MM-YYYY")</f>
        <v>28-09-2024</v>
      </c>
    </row>
    <row r="47" spans="1:5" x14ac:dyDescent="0.3">
      <c r="A47">
        <v>1045</v>
      </c>
      <c r="B47" t="str">
        <f>IF(TRIM(Raw_Data!B47)="","Unknown",PROPER(TRIM(Raw_Data!B47)))</f>
        <v>Keyboard</v>
      </c>
      <c r="C47" t="str">
        <f>IF(TRIM(Raw_Data!C47)="","South",TRIM(Raw_Data!C47))</f>
        <v>South</v>
      </c>
      <c r="D47">
        <f>IF(TRIM(Raw_Data!D47)="",30435.80739,Raw_Data!D47)</f>
        <v>10360.14</v>
      </c>
      <c r="E47" t="str">
        <f>TEXT(Raw_Data!E47,"DD-MM-YYYY")</f>
        <v>26-03-2024</v>
      </c>
    </row>
    <row r="48" spans="1:5" x14ac:dyDescent="0.3">
      <c r="A48">
        <v>1046</v>
      </c>
      <c r="B48" t="str">
        <f>IF(TRIM(Raw_Data!B48)="","Unknown",PROPER(TRIM(Raw_Data!B48)))</f>
        <v>Unknown</v>
      </c>
      <c r="C48" t="str">
        <f>IF(TRIM(Raw_Data!C48)="","South",TRIM(Raw_Data!C48))</f>
        <v>South</v>
      </c>
      <c r="D48">
        <f>IF(TRIM(Raw_Data!D48)="",30435.80739,Raw_Data!D48)</f>
        <v>42515.81</v>
      </c>
      <c r="E48" t="str">
        <f>TEXT(Raw_Data!E48,"DD-MM-YYYY")</f>
        <v>22-07-2024</v>
      </c>
    </row>
    <row r="49" spans="1:5" x14ac:dyDescent="0.3">
      <c r="A49">
        <v>1047</v>
      </c>
      <c r="B49" t="str">
        <f>IF(TRIM(Raw_Data!B49)="","Unknown",PROPER(TRIM(Raw_Data!B49)))</f>
        <v>Laptop</v>
      </c>
      <c r="C49" t="str">
        <f>IF(TRIM(Raw_Data!C49)="","South",TRIM(Raw_Data!C49))</f>
        <v>West</v>
      </c>
      <c r="D49">
        <f>IF(TRIM(Raw_Data!D49)="",30435.80739,Raw_Data!D49)</f>
        <v>39336.65</v>
      </c>
      <c r="E49" t="str">
        <f>TEXT(Raw_Data!E49,"DD-MM-YYYY")</f>
        <v>06-09-2024</v>
      </c>
    </row>
    <row r="50" spans="1:5" x14ac:dyDescent="0.3">
      <c r="A50">
        <v>1048</v>
      </c>
      <c r="B50" t="str">
        <f>IF(TRIM(Raw_Data!B50)="","Unknown",PROPER(TRIM(Raw_Data!B50)))</f>
        <v>Keyboard</v>
      </c>
      <c r="C50" t="str">
        <f>IF(TRIM(Raw_Data!C50)="","South",TRIM(Raw_Data!C50))</f>
        <v>North</v>
      </c>
      <c r="D50">
        <f>IF(TRIM(Raw_Data!D50)="",30435.80739,Raw_Data!D50)</f>
        <v>51532.9</v>
      </c>
      <c r="E50" t="str">
        <f>TEXT(Raw_Data!E50,"DD-MM-YYYY")</f>
        <v>20-11-2024</v>
      </c>
    </row>
    <row r="51" spans="1:5" x14ac:dyDescent="0.3">
      <c r="A51">
        <v>1049</v>
      </c>
      <c r="B51" t="str">
        <f>IF(TRIM(Raw_Data!B51)="","Unknown",PROPER(TRIM(Raw_Data!B51)))</f>
        <v>Tablet</v>
      </c>
      <c r="C51" t="str">
        <f>IF(TRIM(Raw_Data!C51)="","South",TRIM(Raw_Data!C51))</f>
        <v>West</v>
      </c>
      <c r="D51">
        <f>IF(TRIM(Raw_Data!D51)="",30435.80739,Raw_Data!D51)</f>
        <v>48256.01</v>
      </c>
      <c r="E51" t="str">
        <f>TEXT(Raw_Data!E51,"DD-MM-YYYY")</f>
        <v>26-06-2024</v>
      </c>
    </row>
    <row r="52" spans="1:5" x14ac:dyDescent="0.3">
      <c r="A52">
        <v>1050</v>
      </c>
      <c r="B52" t="str">
        <f>IF(TRIM(Raw_Data!B52)="","Unknown",PROPER(TRIM(Raw_Data!B52)))</f>
        <v>Mouse</v>
      </c>
      <c r="C52" t="str">
        <f>IF(TRIM(Raw_Data!C52)="","South",TRIM(Raw_Data!C52))</f>
        <v>West</v>
      </c>
      <c r="D52">
        <f>IF(TRIM(Raw_Data!D52)="",30435.80739,Raw_Data!D52)</f>
        <v>39437.599999999999</v>
      </c>
      <c r="E52" t="str">
        <f>TEXT(Raw_Data!E52,"DD-MM-YYYY")</f>
        <v>12-02-2024</v>
      </c>
    </row>
    <row r="53" spans="1:5" x14ac:dyDescent="0.3">
      <c r="A53">
        <v>1051</v>
      </c>
      <c r="B53" t="str">
        <f>IF(TRIM(Raw_Data!B53)="","Unknown",PROPER(TRIM(Raw_Data!B53)))</f>
        <v>Tablet</v>
      </c>
      <c r="C53" t="str">
        <f>IF(TRIM(Raw_Data!C53)="","South",TRIM(Raw_Data!C53))</f>
        <v>South</v>
      </c>
      <c r="D53">
        <f>IF(TRIM(Raw_Data!D53)="",30435.80739,Raw_Data!D53)</f>
        <v>41297.4</v>
      </c>
      <c r="E53" t="str">
        <f>TEXT(Raw_Data!E53,"DD-MM-YYYY")</f>
        <v>02-12-2024</v>
      </c>
    </row>
    <row r="54" spans="1:5" x14ac:dyDescent="0.3">
      <c r="A54">
        <v>1052</v>
      </c>
      <c r="B54" t="str">
        <f>IF(TRIM(Raw_Data!B54)="","Unknown",PROPER(TRIM(Raw_Data!B54)))</f>
        <v>Monitor</v>
      </c>
      <c r="C54" t="str">
        <f>IF(TRIM(Raw_Data!C54)="","South",TRIM(Raw_Data!C54))</f>
        <v>West</v>
      </c>
      <c r="D54">
        <f>IF(TRIM(Raw_Data!D54)="",30435.80739,Raw_Data!D54)</f>
        <v>41880.53</v>
      </c>
      <c r="E54" t="str">
        <f>TEXT(Raw_Data!E54,"DD-MM-YYYY")</f>
        <v>23-04-2024</v>
      </c>
    </row>
    <row r="55" spans="1:5" x14ac:dyDescent="0.3">
      <c r="A55">
        <v>1053</v>
      </c>
      <c r="B55" t="str">
        <f>IF(TRIM(Raw_Data!B55)="","Unknown",PROPER(TRIM(Raw_Data!B55)))</f>
        <v>Tablet</v>
      </c>
      <c r="C55" t="str">
        <f>IF(TRIM(Raw_Data!C55)="","South",TRIM(Raw_Data!C55))</f>
        <v>South</v>
      </c>
      <c r="D55">
        <f>IF(TRIM(Raw_Data!D55)="",30435.80739,Raw_Data!D55)</f>
        <v>45286.27</v>
      </c>
      <c r="E55" t="str">
        <f>TEXT(Raw_Data!E55,"DD-MM-YYYY")</f>
        <v>10-07-2024</v>
      </c>
    </row>
    <row r="56" spans="1:5" x14ac:dyDescent="0.3">
      <c r="A56">
        <v>1054</v>
      </c>
      <c r="B56" t="str">
        <f>IF(TRIM(Raw_Data!B56)="","Unknown",PROPER(TRIM(Raw_Data!B56)))</f>
        <v>Monitor</v>
      </c>
      <c r="C56" t="str">
        <f>IF(TRIM(Raw_Data!C56)="","South",TRIM(Raw_Data!C56))</f>
        <v>North</v>
      </c>
      <c r="D56">
        <f>IF(TRIM(Raw_Data!D56)="",30435.80739,Raw_Data!D56)</f>
        <v>34150.129999999997</v>
      </c>
      <c r="E56" t="str">
        <f>TEXT(Raw_Data!E56,"DD-MM-YYYY")</f>
        <v>24-09-2024</v>
      </c>
    </row>
    <row r="57" spans="1:5" x14ac:dyDescent="0.3">
      <c r="A57">
        <v>1055</v>
      </c>
      <c r="B57" t="str">
        <f>IF(TRIM(Raw_Data!B57)="","Unknown",PROPER(TRIM(Raw_Data!B57)))</f>
        <v>Tablet</v>
      </c>
      <c r="C57" t="str">
        <f>IF(TRIM(Raw_Data!C57)="","South",TRIM(Raw_Data!C57))</f>
        <v>West</v>
      </c>
      <c r="D57">
        <f>IF(TRIM(Raw_Data!D57)="",30435.80739,Raw_Data!D57)</f>
        <v>49760.99</v>
      </c>
      <c r="E57" t="str">
        <f>TEXT(Raw_Data!E57,"DD-MM-YYYY")</f>
        <v>07-12-2024</v>
      </c>
    </row>
    <row r="58" spans="1:5" x14ac:dyDescent="0.3">
      <c r="A58">
        <v>1056</v>
      </c>
      <c r="B58" t="str">
        <f>IF(TRIM(Raw_Data!B58)="","Unknown",PROPER(TRIM(Raw_Data!B58)))</f>
        <v>Keyboard</v>
      </c>
      <c r="C58" t="str">
        <f>IF(TRIM(Raw_Data!C58)="","South",TRIM(Raw_Data!C58))</f>
        <v>North</v>
      </c>
      <c r="D58">
        <f>IF(TRIM(Raw_Data!D58)="",30435.80739,Raw_Data!D58)</f>
        <v>21939.41</v>
      </c>
      <c r="E58" t="str">
        <f>TEXT(Raw_Data!E58,"DD-MM-YYYY")</f>
        <v>10-10-2024</v>
      </c>
    </row>
    <row r="59" spans="1:5" x14ac:dyDescent="0.3">
      <c r="A59">
        <v>1057</v>
      </c>
      <c r="B59" t="str">
        <f>IF(TRIM(Raw_Data!B59)="","Unknown",PROPER(TRIM(Raw_Data!B59)))</f>
        <v>Keyboard</v>
      </c>
      <c r="C59" t="str">
        <f>IF(TRIM(Raw_Data!C59)="","South",TRIM(Raw_Data!C59))</f>
        <v>South</v>
      </c>
      <c r="D59">
        <f>IF(TRIM(Raw_Data!D59)="",30435.80739,Raw_Data!D59)</f>
        <v>20391.21</v>
      </c>
      <c r="E59" t="str">
        <f>TEXT(Raw_Data!E59,"DD-MM-YYYY")</f>
        <v>22-02-2024</v>
      </c>
    </row>
    <row r="60" spans="1:5" x14ac:dyDescent="0.3">
      <c r="A60">
        <v>1058</v>
      </c>
      <c r="B60" t="str">
        <f>IF(TRIM(Raw_Data!B60)="","Unknown",PROPER(TRIM(Raw_Data!B60)))</f>
        <v>Tablet</v>
      </c>
      <c r="C60" t="str">
        <f>IF(TRIM(Raw_Data!C60)="","South",TRIM(Raw_Data!C60))</f>
        <v>South</v>
      </c>
      <c r="D60">
        <f>IF(TRIM(Raw_Data!D60)="",30435.80739,Raw_Data!D60)</f>
        <v>27050.3</v>
      </c>
      <c r="E60" t="str">
        <f>TEXT(Raw_Data!E60,"DD-MM-YYYY")</f>
        <v>02-08-2024</v>
      </c>
    </row>
    <row r="61" spans="1:5" x14ac:dyDescent="0.3">
      <c r="A61">
        <v>1059</v>
      </c>
      <c r="B61" t="str">
        <f>IF(TRIM(Raw_Data!B61)="","Unknown",PROPER(TRIM(Raw_Data!B61)))</f>
        <v>Laptop</v>
      </c>
      <c r="C61" t="str">
        <f>IF(TRIM(Raw_Data!C61)="","South",TRIM(Raw_Data!C61))</f>
        <v>North</v>
      </c>
      <c r="D61">
        <f>IF(TRIM(Raw_Data!D61)="",30435.80739,Raw_Data!D61)</f>
        <v>50470.37</v>
      </c>
      <c r="E61" t="str">
        <f>TEXT(Raw_Data!E61,"DD-MM-YYYY")</f>
        <v>22-06-2024</v>
      </c>
    </row>
    <row r="62" spans="1:5" x14ac:dyDescent="0.3">
      <c r="A62">
        <v>1060</v>
      </c>
      <c r="B62" t="str">
        <f>IF(TRIM(Raw_Data!B62)="","Unknown",PROPER(TRIM(Raw_Data!B62)))</f>
        <v>Laptop</v>
      </c>
      <c r="C62" t="str">
        <f>IF(TRIM(Raw_Data!C62)="","South",TRIM(Raw_Data!C62))</f>
        <v>East</v>
      </c>
      <c r="D62">
        <f>IF(TRIM(Raw_Data!D62)="",30435.80739,Raw_Data!D62)</f>
        <v>59211.74</v>
      </c>
      <c r="E62" t="str">
        <f>TEXT(Raw_Data!E62,"DD-MM-YYYY")</f>
        <v>30-12-2024</v>
      </c>
    </row>
    <row r="63" spans="1:5" x14ac:dyDescent="0.3">
      <c r="A63">
        <v>1061</v>
      </c>
      <c r="B63" t="str">
        <f>IF(TRIM(Raw_Data!B63)="","Unknown",PROPER(TRIM(Raw_Data!B63)))</f>
        <v>Laptop</v>
      </c>
      <c r="C63" t="str">
        <f>IF(TRIM(Raw_Data!C63)="","South",TRIM(Raw_Data!C63))</f>
        <v>North</v>
      </c>
      <c r="D63">
        <f>IF(TRIM(Raw_Data!D63)="",30435.80739,Raw_Data!D63)</f>
        <v>5926.54</v>
      </c>
      <c r="E63" t="str">
        <f>TEXT(Raw_Data!E63,"DD-MM-YYYY")</f>
        <v>29-12-2024</v>
      </c>
    </row>
    <row r="64" spans="1:5" x14ac:dyDescent="0.3">
      <c r="A64">
        <v>1062</v>
      </c>
      <c r="B64" t="str">
        <f>IF(TRIM(Raw_Data!B64)="","Unknown",PROPER(TRIM(Raw_Data!B64)))</f>
        <v>Keyboard</v>
      </c>
      <c r="C64" t="str">
        <f>IF(TRIM(Raw_Data!C64)="","South",TRIM(Raw_Data!C64))</f>
        <v>West</v>
      </c>
      <c r="D64">
        <f>IF(TRIM(Raw_Data!D64)="",30435.80739,Raw_Data!D64)</f>
        <v>30435.807390000002</v>
      </c>
      <c r="E64" t="str">
        <f>TEXT(Raw_Data!E64,"DD-MM-YYYY")</f>
        <v>07-08-2024</v>
      </c>
    </row>
    <row r="65" spans="1:5" x14ac:dyDescent="0.3">
      <c r="A65">
        <v>1063</v>
      </c>
      <c r="B65" t="str">
        <f>IF(TRIM(Raw_Data!B65)="","Unknown",PROPER(TRIM(Raw_Data!B65)))</f>
        <v>Laptop</v>
      </c>
      <c r="C65" t="str">
        <f>IF(TRIM(Raw_Data!C65)="","South",TRIM(Raw_Data!C65))</f>
        <v>East</v>
      </c>
      <c r="D65">
        <f>IF(TRIM(Raw_Data!D65)="",30435.80739,Raw_Data!D65)</f>
        <v>15012.88</v>
      </c>
      <c r="E65" t="str">
        <f>TEXT(Raw_Data!E65,"DD-MM-YYYY")</f>
        <v>09-07-2024</v>
      </c>
    </row>
    <row r="66" spans="1:5" x14ac:dyDescent="0.3">
      <c r="A66">
        <v>1064</v>
      </c>
      <c r="B66" t="str">
        <f>IF(TRIM(Raw_Data!B66)="","Unknown",PROPER(TRIM(Raw_Data!B66)))</f>
        <v>Laptop</v>
      </c>
      <c r="C66" t="str">
        <f>IF(TRIM(Raw_Data!C66)="","South",TRIM(Raw_Data!C66))</f>
        <v>West</v>
      </c>
      <c r="D66">
        <f>IF(TRIM(Raw_Data!D66)="",30435.80739,Raw_Data!D66)</f>
        <v>33804.300000000003</v>
      </c>
      <c r="E66" t="str">
        <f>TEXT(Raw_Data!E66,"DD-MM-YYYY")</f>
        <v>29-10-2024</v>
      </c>
    </row>
    <row r="67" spans="1:5" x14ac:dyDescent="0.3">
      <c r="A67">
        <v>1065</v>
      </c>
      <c r="B67" t="str">
        <f>IF(TRIM(Raw_Data!B67)="","Unknown",PROPER(TRIM(Raw_Data!B67)))</f>
        <v>Tablet</v>
      </c>
      <c r="C67" t="str">
        <f>IF(TRIM(Raw_Data!C67)="","South",TRIM(Raw_Data!C67))</f>
        <v>North</v>
      </c>
      <c r="D67">
        <f>IF(TRIM(Raw_Data!D67)="",30435.80739,Raw_Data!D67)</f>
        <v>31862.77</v>
      </c>
      <c r="E67" t="str">
        <f>TEXT(Raw_Data!E67,"DD-MM-YYYY")</f>
        <v>20-08-2024</v>
      </c>
    </row>
    <row r="68" spans="1:5" x14ac:dyDescent="0.3">
      <c r="A68">
        <v>1066</v>
      </c>
      <c r="B68" t="str">
        <f>IF(TRIM(Raw_Data!B68)="","Unknown",PROPER(TRIM(Raw_Data!B68)))</f>
        <v>Mouse</v>
      </c>
      <c r="C68" t="str">
        <f>IF(TRIM(Raw_Data!C68)="","South",TRIM(Raw_Data!C68))</f>
        <v>East</v>
      </c>
      <c r="D68">
        <f>IF(TRIM(Raw_Data!D68)="",30435.80739,Raw_Data!D68)</f>
        <v>44488.94</v>
      </c>
      <c r="E68" t="str">
        <f>TEXT(Raw_Data!E68,"DD-MM-YYYY")</f>
        <v>12-01-2024</v>
      </c>
    </row>
    <row r="69" spans="1:5" x14ac:dyDescent="0.3">
      <c r="A69">
        <v>1067</v>
      </c>
      <c r="B69" t="str">
        <f>IF(TRIM(Raw_Data!B69)="","Unknown",PROPER(TRIM(Raw_Data!B69)))</f>
        <v>Monitor</v>
      </c>
      <c r="C69" t="str">
        <f>IF(TRIM(Raw_Data!C69)="","South",TRIM(Raw_Data!C69))</f>
        <v>South</v>
      </c>
      <c r="D69">
        <f>IF(TRIM(Raw_Data!D69)="",30435.80739,Raw_Data!D69)</f>
        <v>39164.050000000003</v>
      </c>
      <c r="E69" t="str">
        <f>TEXT(Raw_Data!E69,"DD-MM-YYYY")</f>
        <v>15-05-2024</v>
      </c>
    </row>
    <row r="70" spans="1:5" x14ac:dyDescent="0.3">
      <c r="A70">
        <v>1068</v>
      </c>
      <c r="B70" t="str">
        <f>IF(TRIM(Raw_Data!B70)="","Unknown",PROPER(TRIM(Raw_Data!B70)))</f>
        <v>Mouse</v>
      </c>
      <c r="C70" t="str">
        <f>IF(TRIM(Raw_Data!C70)="","South",TRIM(Raw_Data!C70))</f>
        <v>North</v>
      </c>
      <c r="D70">
        <f>IF(TRIM(Raw_Data!D70)="",30435.80739,Raw_Data!D70)</f>
        <v>32629.69</v>
      </c>
      <c r="E70" t="str">
        <f>TEXT(Raw_Data!E70,"DD-MM-YYYY")</f>
        <v>30-07-2024</v>
      </c>
    </row>
    <row r="71" spans="1:5" x14ac:dyDescent="0.3">
      <c r="A71">
        <v>1069</v>
      </c>
      <c r="B71" t="str">
        <f>IF(TRIM(Raw_Data!B71)="","Unknown",PROPER(TRIM(Raw_Data!B71)))</f>
        <v>Tablet</v>
      </c>
      <c r="C71" t="str">
        <f>IF(TRIM(Raw_Data!C71)="","South",TRIM(Raw_Data!C71))</f>
        <v>East</v>
      </c>
      <c r="D71">
        <f>IF(TRIM(Raw_Data!D71)="",30435.80739,Raw_Data!D71)</f>
        <v>35288.589999999997</v>
      </c>
      <c r="E71" t="str">
        <f>TEXT(Raw_Data!E71,"DD-MM-YYYY")</f>
        <v>10-01-2024</v>
      </c>
    </row>
    <row r="72" spans="1:5" x14ac:dyDescent="0.3">
      <c r="A72">
        <v>1070</v>
      </c>
      <c r="B72" t="str">
        <f>IF(TRIM(Raw_Data!B72)="","Unknown",PROPER(TRIM(Raw_Data!B72)))</f>
        <v>Unknown</v>
      </c>
      <c r="C72" t="str">
        <f>IF(TRIM(Raw_Data!C72)="","South",TRIM(Raw_Data!C72))</f>
        <v>North</v>
      </c>
      <c r="D72">
        <f>IF(TRIM(Raw_Data!D72)="",30435.80739,Raw_Data!D72)</f>
        <v>59249.29</v>
      </c>
      <c r="E72" t="str">
        <f>TEXT(Raw_Data!E72,"DD-MM-YYYY")</f>
        <v>25-06-2024</v>
      </c>
    </row>
    <row r="73" spans="1:5" x14ac:dyDescent="0.3">
      <c r="A73">
        <v>1071</v>
      </c>
      <c r="B73" t="str">
        <f>IF(TRIM(Raw_Data!B73)="","Unknown",PROPER(TRIM(Raw_Data!B73)))</f>
        <v>Monitor</v>
      </c>
      <c r="C73" t="str">
        <f>IF(TRIM(Raw_Data!C73)="","South",TRIM(Raw_Data!C73))</f>
        <v>East</v>
      </c>
      <c r="D73">
        <f>IF(TRIM(Raw_Data!D73)="",30435.80739,Raw_Data!D73)</f>
        <v>3172.49</v>
      </c>
      <c r="E73" t="str">
        <f>TEXT(Raw_Data!E73,"DD-MM-YYYY")</f>
        <v>06-11-2024</v>
      </c>
    </row>
    <row r="74" spans="1:5" x14ac:dyDescent="0.3">
      <c r="A74">
        <v>1072</v>
      </c>
      <c r="B74" t="str">
        <f>IF(TRIM(Raw_Data!B74)="","Unknown",PROPER(TRIM(Raw_Data!B74)))</f>
        <v>Laptop</v>
      </c>
      <c r="C74" t="str">
        <f>IF(TRIM(Raw_Data!C74)="","South",TRIM(Raw_Data!C74))</f>
        <v>West</v>
      </c>
      <c r="D74">
        <f>IF(TRIM(Raw_Data!D74)="",30435.80739,Raw_Data!D74)</f>
        <v>56741.18</v>
      </c>
      <c r="E74" t="str">
        <f>TEXT(Raw_Data!E74,"DD-MM-YYYY")</f>
        <v>23-03-2024</v>
      </c>
    </row>
    <row r="75" spans="1:5" x14ac:dyDescent="0.3">
      <c r="A75">
        <v>1073</v>
      </c>
      <c r="B75" t="str">
        <f>IF(TRIM(Raw_Data!B75)="","Unknown",PROPER(TRIM(Raw_Data!B75)))</f>
        <v>Laptop</v>
      </c>
      <c r="C75" t="str">
        <f>IF(TRIM(Raw_Data!C75)="","South",TRIM(Raw_Data!C75))</f>
        <v>East</v>
      </c>
      <c r="D75">
        <f>IF(TRIM(Raw_Data!D75)="",30435.80739,Raw_Data!D75)</f>
        <v>14489.93</v>
      </c>
      <c r="E75" t="str">
        <f>TEXT(Raw_Data!E75,"DD-MM-YYYY")</f>
        <v>14-10-2024</v>
      </c>
    </row>
    <row r="76" spans="1:5" x14ac:dyDescent="0.3">
      <c r="A76">
        <v>1074</v>
      </c>
      <c r="B76" t="str">
        <f>IF(TRIM(Raw_Data!B76)="","Unknown",PROPER(TRIM(Raw_Data!B76)))</f>
        <v>Unknown</v>
      </c>
      <c r="C76" t="str">
        <f>IF(TRIM(Raw_Data!C76)="","South",TRIM(Raw_Data!C76))</f>
        <v>West</v>
      </c>
      <c r="D76">
        <f>IF(TRIM(Raw_Data!D76)="",30435.80739,Raw_Data!D76)</f>
        <v>50050.92</v>
      </c>
      <c r="E76" t="str">
        <f>TEXT(Raw_Data!E76,"DD-MM-YYYY")</f>
        <v>01-11-2024</v>
      </c>
    </row>
    <row r="77" spans="1:5" x14ac:dyDescent="0.3">
      <c r="A77">
        <v>1075</v>
      </c>
      <c r="B77" t="str">
        <f>IF(TRIM(Raw_Data!B77)="","Unknown",PROPER(TRIM(Raw_Data!B77)))</f>
        <v>Keyboard</v>
      </c>
      <c r="C77" t="str">
        <f>IF(TRIM(Raw_Data!C77)="","South",TRIM(Raw_Data!C77))</f>
        <v>South</v>
      </c>
      <c r="D77">
        <f>IF(TRIM(Raw_Data!D77)="",30435.80739,Raw_Data!D77)</f>
        <v>2698.18</v>
      </c>
      <c r="E77" t="str">
        <f>TEXT(Raw_Data!E77,"DD-MM-YYYY")</f>
        <v>25-07-2024</v>
      </c>
    </row>
    <row r="78" spans="1:5" x14ac:dyDescent="0.3">
      <c r="A78">
        <v>1076</v>
      </c>
      <c r="B78" t="str">
        <f>IF(TRIM(Raw_Data!B78)="","Unknown",PROPER(TRIM(Raw_Data!B78)))</f>
        <v>Monitor</v>
      </c>
      <c r="C78" t="str">
        <f>IF(TRIM(Raw_Data!C78)="","South",TRIM(Raw_Data!C78))</f>
        <v>East</v>
      </c>
      <c r="D78">
        <f>IF(TRIM(Raw_Data!D78)="",30435.80739,Raw_Data!D78)</f>
        <v>36877.18</v>
      </c>
      <c r="E78" t="str">
        <f>TEXT(Raw_Data!E78,"DD-MM-YYYY")</f>
        <v>03-12-2024</v>
      </c>
    </row>
    <row r="79" spans="1:5" x14ac:dyDescent="0.3">
      <c r="A79">
        <v>1077</v>
      </c>
      <c r="B79" t="str">
        <f>IF(TRIM(Raw_Data!B79)="","Unknown",PROPER(TRIM(Raw_Data!B79)))</f>
        <v>Monitor</v>
      </c>
      <c r="C79" t="str">
        <f>IF(TRIM(Raw_Data!C79)="","South",TRIM(Raw_Data!C79))</f>
        <v>South</v>
      </c>
      <c r="D79">
        <f>IF(TRIM(Raw_Data!D79)="",30435.80739,Raw_Data!D79)</f>
        <v>24396.02</v>
      </c>
      <c r="E79" t="str">
        <f>TEXT(Raw_Data!E79,"DD-MM-YYYY")</f>
        <v>03-09-2024</v>
      </c>
    </row>
    <row r="80" spans="1:5" x14ac:dyDescent="0.3">
      <c r="A80">
        <v>1078</v>
      </c>
      <c r="B80" t="str">
        <f>IF(TRIM(Raw_Data!B80)="","Unknown",PROPER(TRIM(Raw_Data!B80)))</f>
        <v>Monitor</v>
      </c>
      <c r="C80" t="str">
        <f>IF(TRIM(Raw_Data!C80)="","South",TRIM(Raw_Data!C80))</f>
        <v>West</v>
      </c>
      <c r="D80">
        <f>IF(TRIM(Raw_Data!D80)="",30435.80739,Raw_Data!D80)</f>
        <v>4907.92</v>
      </c>
      <c r="E80" t="str">
        <f>TEXT(Raw_Data!E80,"DD-MM-YYYY")</f>
        <v>09-03-2024</v>
      </c>
    </row>
    <row r="81" spans="1:5" x14ac:dyDescent="0.3">
      <c r="A81">
        <v>1079</v>
      </c>
      <c r="B81" t="str">
        <f>IF(TRIM(Raw_Data!B81)="","Unknown",PROPER(TRIM(Raw_Data!B81)))</f>
        <v>Keyboard</v>
      </c>
      <c r="C81" t="str">
        <f>IF(TRIM(Raw_Data!C81)="","South",TRIM(Raw_Data!C81))</f>
        <v>West</v>
      </c>
      <c r="D81">
        <f>IF(TRIM(Raw_Data!D81)="",30435.80739,Raw_Data!D81)</f>
        <v>8603.9</v>
      </c>
      <c r="E81" t="str">
        <f>TEXT(Raw_Data!E81,"DD-MM-YYYY")</f>
        <v>01-07-2024</v>
      </c>
    </row>
    <row r="82" spans="1:5" x14ac:dyDescent="0.3">
      <c r="A82">
        <v>1080</v>
      </c>
      <c r="B82" t="str">
        <f>IF(TRIM(Raw_Data!B82)="","Unknown",PROPER(TRIM(Raw_Data!B82)))</f>
        <v>Laptop</v>
      </c>
      <c r="C82" t="str">
        <f>IF(TRIM(Raw_Data!C82)="","South",TRIM(Raw_Data!C82))</f>
        <v>South</v>
      </c>
      <c r="D82">
        <f>IF(TRIM(Raw_Data!D82)="",30435.80739,Raw_Data!D82)</f>
        <v>52584.74</v>
      </c>
      <c r="E82" t="str">
        <f>TEXT(Raw_Data!E82,"DD-MM-YYYY")</f>
        <v>03-06-2024</v>
      </c>
    </row>
    <row r="83" spans="1:5" x14ac:dyDescent="0.3">
      <c r="A83">
        <v>1081</v>
      </c>
      <c r="B83" t="str">
        <f>IF(TRIM(Raw_Data!B83)="","Unknown",PROPER(TRIM(Raw_Data!B83)))</f>
        <v>Unknown</v>
      </c>
      <c r="C83" t="str">
        <f>IF(TRIM(Raw_Data!C83)="","South",TRIM(Raw_Data!C83))</f>
        <v>West</v>
      </c>
      <c r="D83">
        <f>IF(TRIM(Raw_Data!D83)="",30435.80739,Raw_Data!D83)</f>
        <v>11443.62</v>
      </c>
      <c r="E83" t="str">
        <f>TEXT(Raw_Data!E83,"DD-MM-YYYY")</f>
        <v>21-11-2024</v>
      </c>
    </row>
    <row r="84" spans="1:5" x14ac:dyDescent="0.3">
      <c r="A84">
        <v>1082</v>
      </c>
      <c r="B84" t="str">
        <f>IF(TRIM(Raw_Data!B84)="","Unknown",PROPER(TRIM(Raw_Data!B84)))</f>
        <v>Mouse</v>
      </c>
      <c r="C84" t="str">
        <f>IF(TRIM(Raw_Data!C84)="","South",TRIM(Raw_Data!C84))</f>
        <v>South</v>
      </c>
      <c r="D84">
        <f>IF(TRIM(Raw_Data!D84)="",30435.80739,Raw_Data!D84)</f>
        <v>41733.29</v>
      </c>
      <c r="E84" t="str">
        <f>TEXT(Raw_Data!E84,"DD-MM-YYYY")</f>
        <v>13-03-2024</v>
      </c>
    </row>
    <row r="85" spans="1:5" x14ac:dyDescent="0.3">
      <c r="A85">
        <v>1083</v>
      </c>
      <c r="B85" t="str">
        <f>IF(TRIM(Raw_Data!B85)="","Unknown",PROPER(TRIM(Raw_Data!B85)))</f>
        <v>Tablet</v>
      </c>
      <c r="C85" t="str">
        <f>IF(TRIM(Raw_Data!C85)="","South",TRIM(Raw_Data!C85))</f>
        <v>West</v>
      </c>
      <c r="D85">
        <f>IF(TRIM(Raw_Data!D85)="",30435.80739,Raw_Data!D85)</f>
        <v>23259.87</v>
      </c>
      <c r="E85" t="str">
        <f>TEXT(Raw_Data!E85,"DD-MM-YYYY")</f>
        <v>02-12-2024</v>
      </c>
    </row>
    <row r="86" spans="1:5" x14ac:dyDescent="0.3">
      <c r="A86">
        <v>1084</v>
      </c>
      <c r="B86" t="str">
        <f>IF(TRIM(Raw_Data!B86)="","Unknown",PROPER(TRIM(Raw_Data!B86)))</f>
        <v>Monitor</v>
      </c>
      <c r="C86" t="str">
        <f>IF(TRIM(Raw_Data!C86)="","South",TRIM(Raw_Data!C86))</f>
        <v>East</v>
      </c>
      <c r="D86">
        <f>IF(TRIM(Raw_Data!D86)="",30435.80739,Raw_Data!D86)</f>
        <v>22857.85</v>
      </c>
      <c r="E86" t="str">
        <f>TEXT(Raw_Data!E86,"DD-MM-YYYY")</f>
        <v>01-08-2024</v>
      </c>
    </row>
    <row r="87" spans="1:5" x14ac:dyDescent="0.3">
      <c r="A87">
        <v>1085</v>
      </c>
      <c r="B87" t="str">
        <f>IF(TRIM(Raw_Data!B87)="","Unknown",PROPER(TRIM(Raw_Data!B87)))</f>
        <v>Monitor</v>
      </c>
      <c r="C87" t="str">
        <f>IF(TRIM(Raw_Data!C87)="","South",TRIM(Raw_Data!C87))</f>
        <v>North</v>
      </c>
      <c r="D87">
        <f>IF(TRIM(Raw_Data!D87)="",30435.80739,Raw_Data!D87)</f>
        <v>9716.61</v>
      </c>
      <c r="E87" t="str">
        <f>TEXT(Raw_Data!E87,"DD-MM-YYYY")</f>
        <v>07-01-2024</v>
      </c>
    </row>
    <row r="88" spans="1:5" x14ac:dyDescent="0.3">
      <c r="A88">
        <v>1086</v>
      </c>
      <c r="B88" t="str">
        <f>IF(TRIM(Raw_Data!B88)="","Unknown",PROPER(TRIM(Raw_Data!B88)))</f>
        <v>Unknown</v>
      </c>
      <c r="C88" t="str">
        <f>IF(TRIM(Raw_Data!C88)="","South",TRIM(Raw_Data!C88))</f>
        <v>South</v>
      </c>
      <c r="D88">
        <f>IF(TRIM(Raw_Data!D88)="",30435.80739,Raw_Data!D88)</f>
        <v>24432.67</v>
      </c>
      <c r="E88" t="str">
        <f>TEXT(Raw_Data!E88,"DD-MM-YYYY")</f>
        <v>10-07-2024</v>
      </c>
    </row>
    <row r="89" spans="1:5" x14ac:dyDescent="0.3">
      <c r="A89">
        <v>1087</v>
      </c>
      <c r="B89" t="str">
        <f>IF(TRIM(Raw_Data!B89)="","Unknown",PROPER(TRIM(Raw_Data!B89)))</f>
        <v>Unknown</v>
      </c>
      <c r="C89" t="str">
        <f>IF(TRIM(Raw_Data!C89)="","South",TRIM(Raw_Data!C89))</f>
        <v>North</v>
      </c>
      <c r="D89">
        <f>IF(TRIM(Raw_Data!D89)="",30435.80739,Raw_Data!D89)</f>
        <v>20322.34</v>
      </c>
      <c r="E89" t="str">
        <f>TEXT(Raw_Data!E89,"DD-MM-YYYY")</f>
        <v>26-10-2024</v>
      </c>
    </row>
    <row r="90" spans="1:5" x14ac:dyDescent="0.3">
      <c r="A90">
        <v>1088</v>
      </c>
      <c r="B90" t="str">
        <f>IF(TRIM(Raw_Data!B90)="","Unknown",PROPER(TRIM(Raw_Data!B90)))</f>
        <v>Tablet</v>
      </c>
      <c r="C90" t="str">
        <f>IF(TRIM(Raw_Data!C90)="","South",TRIM(Raw_Data!C90))</f>
        <v>North</v>
      </c>
      <c r="D90">
        <f>IF(TRIM(Raw_Data!D90)="",30435.80739,Raw_Data!D90)</f>
        <v>29295.34</v>
      </c>
      <c r="E90" t="str">
        <f>TEXT(Raw_Data!E90,"DD-MM-YYYY")</f>
        <v>15-08-2024</v>
      </c>
    </row>
    <row r="91" spans="1:5" x14ac:dyDescent="0.3">
      <c r="A91">
        <v>1089</v>
      </c>
      <c r="B91" t="str">
        <f>IF(TRIM(Raw_Data!B91)="","Unknown",PROPER(TRIM(Raw_Data!B91)))</f>
        <v>Tablet</v>
      </c>
      <c r="C91" t="str">
        <f>IF(TRIM(Raw_Data!C91)="","South",TRIM(Raw_Data!C91))</f>
        <v>East</v>
      </c>
      <c r="D91">
        <f>IF(TRIM(Raw_Data!D91)="",30435.80739,Raw_Data!D91)</f>
        <v>22421.86</v>
      </c>
      <c r="E91" t="str">
        <f>TEXT(Raw_Data!E91,"DD-MM-YYYY")</f>
        <v>08-10-2024</v>
      </c>
    </row>
    <row r="92" spans="1:5" x14ac:dyDescent="0.3">
      <c r="A92">
        <v>1090</v>
      </c>
      <c r="B92" t="str">
        <f>IF(TRIM(Raw_Data!B92)="","Unknown",PROPER(TRIM(Raw_Data!B92)))</f>
        <v>Keyboard</v>
      </c>
      <c r="C92" t="str">
        <f>IF(TRIM(Raw_Data!C92)="","South",TRIM(Raw_Data!C92))</f>
        <v>North</v>
      </c>
      <c r="D92">
        <f>IF(TRIM(Raw_Data!D92)="",30435.80739,Raw_Data!D92)</f>
        <v>30435.807390000002</v>
      </c>
      <c r="E92" t="str">
        <f>TEXT(Raw_Data!E92,"DD-MM-YYYY")</f>
        <v>03-10-2024</v>
      </c>
    </row>
    <row r="93" spans="1:5" x14ac:dyDescent="0.3">
      <c r="A93">
        <v>1091</v>
      </c>
      <c r="B93" t="str">
        <f>IF(TRIM(Raw_Data!B93)="","Unknown",PROPER(TRIM(Raw_Data!B93)))</f>
        <v>Mouse</v>
      </c>
      <c r="C93" t="str">
        <f>IF(TRIM(Raw_Data!C93)="","South",TRIM(Raw_Data!C93))</f>
        <v>North</v>
      </c>
      <c r="D93">
        <f>IF(TRIM(Raw_Data!D93)="",30435.80739,Raw_Data!D93)</f>
        <v>11229.04</v>
      </c>
      <c r="E93" t="str">
        <f>TEXT(Raw_Data!E93,"DD-MM-YYYY")</f>
        <v>06-11-2024</v>
      </c>
    </row>
    <row r="94" spans="1:5" x14ac:dyDescent="0.3">
      <c r="A94">
        <v>1172</v>
      </c>
      <c r="B94" t="str">
        <f>IF(TRIM(Raw_Data!B94)="","Unknown",PROPER(TRIM(Raw_Data!B94)))</f>
        <v>Laptop</v>
      </c>
      <c r="C94" t="str">
        <f>IF(TRIM(Raw_Data!C94)="","South",TRIM(Raw_Data!C94))</f>
        <v>South</v>
      </c>
      <c r="D94">
        <f>IF(TRIM(Raw_Data!D94)="",30435.80739,Raw_Data!D94)</f>
        <v>34983.910000000003</v>
      </c>
      <c r="E94" t="str">
        <f>TEXT(Raw_Data!E94,"DD-MM-YYYY")</f>
        <v>15-03-2024</v>
      </c>
    </row>
    <row r="95" spans="1:5" x14ac:dyDescent="0.3">
      <c r="A95">
        <v>1093</v>
      </c>
      <c r="B95" t="str">
        <f>IF(TRIM(Raw_Data!B95)="","Unknown",PROPER(TRIM(Raw_Data!B95)))</f>
        <v>Mouse</v>
      </c>
      <c r="C95" t="str">
        <f>IF(TRIM(Raw_Data!C95)="","South",TRIM(Raw_Data!C95))</f>
        <v>South</v>
      </c>
      <c r="D95">
        <f>IF(TRIM(Raw_Data!D95)="",30435.80739,Raw_Data!D95)</f>
        <v>33849.01</v>
      </c>
      <c r="E95" t="str">
        <f>TEXT(Raw_Data!E95,"DD-MM-YYYY")</f>
        <v>26-01-2024</v>
      </c>
    </row>
    <row r="96" spans="1:5" x14ac:dyDescent="0.3">
      <c r="A96">
        <v>1094</v>
      </c>
      <c r="B96" t="str">
        <f>IF(TRIM(Raw_Data!B96)="","Unknown",PROPER(TRIM(Raw_Data!B96)))</f>
        <v>Tablet</v>
      </c>
      <c r="C96" t="str">
        <f>IF(TRIM(Raw_Data!C96)="","South",TRIM(Raw_Data!C96))</f>
        <v>West</v>
      </c>
      <c r="D96">
        <f>IF(TRIM(Raw_Data!D96)="",30435.80739,Raw_Data!D96)</f>
        <v>30949.01</v>
      </c>
      <c r="E96" t="str">
        <f>TEXT(Raw_Data!E96,"DD-MM-YYYY")</f>
        <v>22-04-2024</v>
      </c>
    </row>
    <row r="97" spans="1:5" x14ac:dyDescent="0.3">
      <c r="A97">
        <v>1095</v>
      </c>
      <c r="B97" t="str">
        <f>IF(TRIM(Raw_Data!B97)="","Unknown",PROPER(TRIM(Raw_Data!B97)))</f>
        <v>Keyboard</v>
      </c>
      <c r="C97" t="str">
        <f>IF(TRIM(Raw_Data!C97)="","South",TRIM(Raw_Data!C97))</f>
        <v>East</v>
      </c>
      <c r="D97">
        <f>IF(TRIM(Raw_Data!D97)="",30435.80739,Raw_Data!D97)</f>
        <v>19917.89</v>
      </c>
      <c r="E97" t="str">
        <f>TEXT(Raw_Data!E97,"DD-MM-YYYY")</f>
        <v>15-09-2024</v>
      </c>
    </row>
    <row r="98" spans="1:5" x14ac:dyDescent="0.3">
      <c r="A98">
        <v>1096</v>
      </c>
      <c r="B98" t="str">
        <f>IF(TRIM(Raw_Data!B98)="","Unknown",PROPER(TRIM(Raw_Data!B98)))</f>
        <v>Monitor</v>
      </c>
      <c r="C98" t="str">
        <f>IF(TRIM(Raw_Data!C98)="","South",TRIM(Raw_Data!C98))</f>
        <v>West</v>
      </c>
      <c r="D98">
        <f>IF(TRIM(Raw_Data!D98)="",30435.80739,Raw_Data!D98)</f>
        <v>20018.88</v>
      </c>
      <c r="E98" t="str">
        <f>TEXT(Raw_Data!E98,"DD-MM-YYYY")</f>
        <v>09-05-2024</v>
      </c>
    </row>
    <row r="99" spans="1:5" x14ac:dyDescent="0.3">
      <c r="A99">
        <v>1097</v>
      </c>
      <c r="B99" t="str">
        <f>IF(TRIM(Raw_Data!B99)="","Unknown",PROPER(TRIM(Raw_Data!B99)))</f>
        <v>Unknown</v>
      </c>
      <c r="C99" t="str">
        <f>IF(TRIM(Raw_Data!C99)="","South",TRIM(Raw_Data!C99))</f>
        <v>South</v>
      </c>
      <c r="D99">
        <f>IF(TRIM(Raw_Data!D99)="",30435.80739,Raw_Data!D99)</f>
        <v>36760.01</v>
      </c>
      <c r="E99" t="str">
        <f>TEXT(Raw_Data!E99,"DD-MM-YYYY")</f>
        <v>03-04-2024</v>
      </c>
    </row>
    <row r="100" spans="1:5" x14ac:dyDescent="0.3">
      <c r="A100">
        <v>1098</v>
      </c>
      <c r="B100" t="str">
        <f>IF(TRIM(Raw_Data!B100)="","Unknown",PROPER(TRIM(Raw_Data!B100)))</f>
        <v>Mouse</v>
      </c>
      <c r="C100" t="str">
        <f>IF(TRIM(Raw_Data!C100)="","South",TRIM(Raw_Data!C100))</f>
        <v>South</v>
      </c>
      <c r="D100">
        <f>IF(TRIM(Raw_Data!D100)="",30435.80739,Raw_Data!D100)</f>
        <v>59464.84</v>
      </c>
      <c r="E100" t="str">
        <f>TEXT(Raw_Data!E100,"DD-MM-YYYY")</f>
        <v>16-03-2024</v>
      </c>
    </row>
    <row r="101" spans="1:5" x14ac:dyDescent="0.3">
      <c r="A101">
        <v>1099</v>
      </c>
      <c r="B101" t="str">
        <f>IF(TRIM(Raw_Data!B101)="","Unknown",PROPER(TRIM(Raw_Data!B101)))</f>
        <v>Unknown</v>
      </c>
      <c r="C101" t="str">
        <f>IF(TRIM(Raw_Data!C101)="","South",TRIM(Raw_Data!C101))</f>
        <v>North</v>
      </c>
      <c r="D101">
        <f>IF(TRIM(Raw_Data!D101)="",30435.80739,Raw_Data!D101)</f>
        <v>45279.61</v>
      </c>
      <c r="E101" t="str">
        <f>TEXT(Raw_Data!E101,"DD-MM-YYYY")</f>
        <v>11-11-2024</v>
      </c>
    </row>
    <row r="102" spans="1:5" x14ac:dyDescent="0.3">
      <c r="A102">
        <v>1100</v>
      </c>
      <c r="B102" t="str">
        <f>IF(TRIM(Raw_Data!B102)="","Unknown",PROPER(TRIM(Raw_Data!B102)))</f>
        <v>Mouse</v>
      </c>
      <c r="C102" t="str">
        <f>IF(TRIM(Raw_Data!C102)="","South",TRIM(Raw_Data!C102))</f>
        <v>North</v>
      </c>
      <c r="D102">
        <f>IF(TRIM(Raw_Data!D102)="",30435.80739,Raw_Data!D102)</f>
        <v>22171</v>
      </c>
      <c r="E102" t="str">
        <f>TEXT(Raw_Data!E102,"DD-MM-YYYY")</f>
        <v>24-08-2024</v>
      </c>
    </row>
    <row r="103" spans="1:5" x14ac:dyDescent="0.3">
      <c r="A103">
        <v>1101</v>
      </c>
      <c r="B103" t="str">
        <f>IF(TRIM(Raw_Data!B103)="","Unknown",PROPER(TRIM(Raw_Data!B103)))</f>
        <v>Mouse</v>
      </c>
      <c r="C103" t="str">
        <f>IF(TRIM(Raw_Data!C103)="","South",TRIM(Raw_Data!C103))</f>
        <v>North</v>
      </c>
      <c r="D103">
        <f>IF(TRIM(Raw_Data!D103)="",30435.80739,Raw_Data!D103)</f>
        <v>32847.08</v>
      </c>
      <c r="E103" t="str">
        <f>TEXT(Raw_Data!E103,"DD-MM-YYYY")</f>
        <v>03-03-2024</v>
      </c>
    </row>
    <row r="104" spans="1:5" x14ac:dyDescent="0.3">
      <c r="A104">
        <v>1102</v>
      </c>
      <c r="B104" t="str">
        <f>IF(TRIM(Raw_Data!B104)="","Unknown",PROPER(TRIM(Raw_Data!B104)))</f>
        <v>Mouse</v>
      </c>
      <c r="C104" t="str">
        <f>IF(TRIM(Raw_Data!C104)="","South",TRIM(Raw_Data!C104))</f>
        <v>South</v>
      </c>
      <c r="D104">
        <f>IF(TRIM(Raw_Data!D104)="",30435.80739,Raw_Data!D104)</f>
        <v>37830.04</v>
      </c>
      <c r="E104" t="str">
        <f>TEXT(Raw_Data!E104,"DD-MM-YYYY")</f>
        <v>16-07-2024</v>
      </c>
    </row>
    <row r="105" spans="1:5" x14ac:dyDescent="0.3">
      <c r="A105">
        <v>1103</v>
      </c>
      <c r="B105" t="str">
        <f>IF(TRIM(Raw_Data!B105)="","Unknown",PROPER(TRIM(Raw_Data!B105)))</f>
        <v>Monitor</v>
      </c>
      <c r="C105" t="str">
        <f>IF(TRIM(Raw_Data!C105)="","South",TRIM(Raw_Data!C105))</f>
        <v>South</v>
      </c>
      <c r="D105">
        <f>IF(TRIM(Raw_Data!D105)="",30435.80739,Raw_Data!D105)</f>
        <v>32474.2</v>
      </c>
      <c r="E105" t="str">
        <f>TEXT(Raw_Data!E105,"DD-MM-YYYY")</f>
        <v>18-08-2024</v>
      </c>
    </row>
    <row r="106" spans="1:5" x14ac:dyDescent="0.3">
      <c r="A106">
        <v>1104</v>
      </c>
      <c r="B106" t="str">
        <f>IF(TRIM(Raw_Data!B106)="","Unknown",PROPER(TRIM(Raw_Data!B106)))</f>
        <v>Monitor</v>
      </c>
      <c r="C106" t="str">
        <f>IF(TRIM(Raw_Data!C106)="","South",TRIM(Raw_Data!C106))</f>
        <v>North</v>
      </c>
      <c r="D106">
        <f>IF(TRIM(Raw_Data!D106)="",30435.80739,Raw_Data!D106)</f>
        <v>13068.13</v>
      </c>
      <c r="E106" t="str">
        <f>TEXT(Raw_Data!E106,"DD-MM-YYYY")</f>
        <v>17-11-2024</v>
      </c>
    </row>
    <row r="107" spans="1:5" x14ac:dyDescent="0.3">
      <c r="A107">
        <v>1105</v>
      </c>
      <c r="B107" t="str">
        <f>IF(TRIM(Raw_Data!B107)="","Unknown",PROPER(TRIM(Raw_Data!B107)))</f>
        <v>Laptop</v>
      </c>
      <c r="C107" t="str">
        <f>IF(TRIM(Raw_Data!C107)="","South",TRIM(Raw_Data!C107))</f>
        <v>South</v>
      </c>
      <c r="D107">
        <f>IF(TRIM(Raw_Data!D107)="",30435.80739,Raw_Data!D107)</f>
        <v>8521.83</v>
      </c>
      <c r="E107" t="str">
        <f>TEXT(Raw_Data!E107,"DD-MM-YYYY")</f>
        <v>02-07-2024</v>
      </c>
    </row>
    <row r="108" spans="1:5" x14ac:dyDescent="0.3">
      <c r="A108">
        <v>1106</v>
      </c>
      <c r="B108" t="str">
        <f>IF(TRIM(Raw_Data!B108)="","Unknown",PROPER(TRIM(Raw_Data!B108)))</f>
        <v>Monitor</v>
      </c>
      <c r="C108" t="str">
        <f>IF(TRIM(Raw_Data!C108)="","South",TRIM(Raw_Data!C108))</f>
        <v>South</v>
      </c>
      <c r="D108">
        <f>IF(TRIM(Raw_Data!D108)="",30435.80739,Raw_Data!D108)</f>
        <v>30435.807390000002</v>
      </c>
      <c r="E108" t="str">
        <f>TEXT(Raw_Data!E108,"DD-MM-YYYY")</f>
        <v>24-04-2024</v>
      </c>
    </row>
    <row r="109" spans="1:5" x14ac:dyDescent="0.3">
      <c r="A109">
        <v>1107</v>
      </c>
      <c r="B109" t="str">
        <f>IF(TRIM(Raw_Data!B109)="","Unknown",PROPER(TRIM(Raw_Data!B109)))</f>
        <v>Mouse</v>
      </c>
      <c r="C109" t="str">
        <f>IF(TRIM(Raw_Data!C109)="","South",TRIM(Raw_Data!C109))</f>
        <v>East</v>
      </c>
      <c r="D109">
        <f>IF(TRIM(Raw_Data!D109)="",30435.80739,Raw_Data!D109)</f>
        <v>35420.120000000003</v>
      </c>
      <c r="E109" t="str">
        <f>TEXT(Raw_Data!E109,"DD-MM-YYYY")</f>
        <v>18-07-2024</v>
      </c>
    </row>
    <row r="110" spans="1:5" x14ac:dyDescent="0.3">
      <c r="A110">
        <v>1108</v>
      </c>
      <c r="B110" t="str">
        <f>IF(TRIM(Raw_Data!B110)="","Unknown",PROPER(TRIM(Raw_Data!B110)))</f>
        <v>Tablet</v>
      </c>
      <c r="C110" t="str">
        <f>IF(TRIM(Raw_Data!C110)="","South",TRIM(Raw_Data!C110))</f>
        <v>West</v>
      </c>
      <c r="D110">
        <f>IF(TRIM(Raw_Data!D110)="",30435.80739,Raw_Data!D110)</f>
        <v>16104.92</v>
      </c>
      <c r="E110" t="str">
        <f>TEXT(Raw_Data!E110,"DD-MM-YYYY")</f>
        <v>13-04-2024</v>
      </c>
    </row>
    <row r="111" spans="1:5" x14ac:dyDescent="0.3">
      <c r="A111">
        <v>1109</v>
      </c>
      <c r="B111" t="str">
        <f>IF(TRIM(Raw_Data!B111)="","Unknown",PROPER(TRIM(Raw_Data!B111)))</f>
        <v>Mouse</v>
      </c>
      <c r="C111" t="str">
        <f>IF(TRIM(Raw_Data!C111)="","South",TRIM(Raw_Data!C111))</f>
        <v>East</v>
      </c>
      <c r="D111">
        <f>IF(TRIM(Raw_Data!D111)="",30435.80739,Raw_Data!D111)</f>
        <v>9999.7999999999993</v>
      </c>
      <c r="E111" t="str">
        <f>TEXT(Raw_Data!E111,"DD-MM-YYYY")</f>
        <v>01-04-2024</v>
      </c>
    </row>
    <row r="112" spans="1:5" x14ac:dyDescent="0.3">
      <c r="A112">
        <v>1110</v>
      </c>
      <c r="B112" t="str">
        <f>IF(TRIM(Raw_Data!B112)="","Unknown",PROPER(TRIM(Raw_Data!B112)))</f>
        <v>Keyboard</v>
      </c>
      <c r="C112" t="str">
        <f>IF(TRIM(Raw_Data!C112)="","South",TRIM(Raw_Data!C112))</f>
        <v>West</v>
      </c>
      <c r="D112">
        <f>IF(TRIM(Raw_Data!D112)="",30435.80739,Raw_Data!D112)</f>
        <v>8245.84</v>
      </c>
      <c r="E112" t="str">
        <f>TEXT(Raw_Data!E112,"DD-MM-YYYY")</f>
        <v>10-04-2024</v>
      </c>
    </row>
    <row r="113" spans="1:5" x14ac:dyDescent="0.3">
      <c r="A113">
        <v>1111</v>
      </c>
      <c r="B113" t="str">
        <f>IF(TRIM(Raw_Data!B113)="","Unknown",PROPER(TRIM(Raw_Data!B113)))</f>
        <v>Monitor</v>
      </c>
      <c r="C113" t="str">
        <f>IF(TRIM(Raw_Data!C113)="","South",TRIM(Raw_Data!C113))</f>
        <v>South</v>
      </c>
      <c r="D113">
        <f>IF(TRIM(Raw_Data!D113)="",30435.80739,Raw_Data!D113)</f>
        <v>35885.25</v>
      </c>
      <c r="E113" t="str">
        <f>TEXT(Raw_Data!E113,"DD-MM-YYYY")</f>
        <v>28-05-2024</v>
      </c>
    </row>
    <row r="114" spans="1:5" x14ac:dyDescent="0.3">
      <c r="A114">
        <v>1112</v>
      </c>
      <c r="B114" t="str">
        <f>IF(TRIM(Raw_Data!B114)="","Unknown",PROPER(TRIM(Raw_Data!B114)))</f>
        <v>Keyboard</v>
      </c>
      <c r="C114" t="str">
        <f>IF(TRIM(Raw_Data!C114)="","South",TRIM(Raw_Data!C114))</f>
        <v>East</v>
      </c>
      <c r="D114">
        <f>IF(TRIM(Raw_Data!D114)="",30435.80739,Raw_Data!D114)</f>
        <v>25455.77</v>
      </c>
      <c r="E114" t="str">
        <f>TEXT(Raw_Data!E114,"DD-MM-YYYY")</f>
        <v>30-03-2024</v>
      </c>
    </row>
    <row r="115" spans="1:5" x14ac:dyDescent="0.3">
      <c r="A115">
        <v>1113</v>
      </c>
      <c r="B115" t="str">
        <f>IF(TRIM(Raw_Data!B115)="","Unknown",PROPER(TRIM(Raw_Data!B115)))</f>
        <v>Laptop</v>
      </c>
      <c r="C115" t="str">
        <f>IF(TRIM(Raw_Data!C115)="","South",TRIM(Raw_Data!C115))</f>
        <v>West</v>
      </c>
      <c r="D115">
        <f>IF(TRIM(Raw_Data!D115)="",30435.80739,Raw_Data!D115)</f>
        <v>27693.93</v>
      </c>
      <c r="E115" t="str">
        <f>TEXT(Raw_Data!E115,"DD-MM-YYYY")</f>
        <v>27-06-2024</v>
      </c>
    </row>
    <row r="116" spans="1:5" x14ac:dyDescent="0.3">
      <c r="A116">
        <v>1114</v>
      </c>
      <c r="B116" t="str">
        <f>IF(TRIM(Raw_Data!B116)="","Unknown",PROPER(TRIM(Raw_Data!B116)))</f>
        <v>Tablet</v>
      </c>
      <c r="C116" t="str">
        <f>IF(TRIM(Raw_Data!C116)="","South",TRIM(Raw_Data!C116))</f>
        <v>South</v>
      </c>
      <c r="D116">
        <f>IF(TRIM(Raw_Data!D116)="",30435.80739,Raw_Data!D116)</f>
        <v>47049.25</v>
      </c>
      <c r="E116" t="str">
        <f>TEXT(Raw_Data!E116,"DD-MM-YYYY")</f>
        <v>29-05-2024</v>
      </c>
    </row>
    <row r="117" spans="1:5" x14ac:dyDescent="0.3">
      <c r="A117">
        <v>1115</v>
      </c>
      <c r="B117" t="str">
        <f>IF(TRIM(Raw_Data!B117)="","Unknown",PROPER(TRIM(Raw_Data!B117)))</f>
        <v>Monitor</v>
      </c>
      <c r="C117" t="str">
        <f>IF(TRIM(Raw_Data!C117)="","South",TRIM(Raw_Data!C117))</f>
        <v>East</v>
      </c>
      <c r="D117">
        <f>IF(TRIM(Raw_Data!D117)="",30435.80739,Raw_Data!D117)</f>
        <v>33881.019999999997</v>
      </c>
      <c r="E117" t="str">
        <f>TEXT(Raw_Data!E117,"DD-MM-YYYY")</f>
        <v>07-12-2024</v>
      </c>
    </row>
    <row r="118" spans="1:5" x14ac:dyDescent="0.3">
      <c r="A118">
        <v>1116</v>
      </c>
      <c r="B118" t="str">
        <f>IF(TRIM(Raw_Data!B118)="","Unknown",PROPER(TRIM(Raw_Data!B118)))</f>
        <v>Monitor</v>
      </c>
      <c r="C118" t="str">
        <f>IF(TRIM(Raw_Data!C118)="","South",TRIM(Raw_Data!C118))</f>
        <v>North</v>
      </c>
      <c r="D118">
        <f>IF(TRIM(Raw_Data!D118)="",30435.80739,Raw_Data!D118)</f>
        <v>45247.67</v>
      </c>
      <c r="E118" t="str">
        <f>TEXT(Raw_Data!E118,"DD-MM-YYYY")</f>
        <v>29-07-2024</v>
      </c>
    </row>
    <row r="119" spans="1:5" x14ac:dyDescent="0.3">
      <c r="A119">
        <v>1117</v>
      </c>
      <c r="B119" t="str">
        <f>IF(TRIM(Raw_Data!B119)="","Unknown",PROPER(TRIM(Raw_Data!B119)))</f>
        <v>Monitor</v>
      </c>
      <c r="C119" t="str">
        <f>IF(TRIM(Raw_Data!C119)="","South",TRIM(Raw_Data!C119))</f>
        <v>West</v>
      </c>
      <c r="D119">
        <f>IF(TRIM(Raw_Data!D119)="",30435.80739,Raw_Data!D119)</f>
        <v>18348.64</v>
      </c>
      <c r="E119" t="str">
        <f>TEXT(Raw_Data!E119,"DD-MM-YYYY")</f>
        <v>23-06-2024</v>
      </c>
    </row>
    <row r="120" spans="1:5" x14ac:dyDescent="0.3">
      <c r="A120">
        <v>1118</v>
      </c>
      <c r="B120" t="str">
        <f>IF(TRIM(Raw_Data!B120)="","Unknown",PROPER(TRIM(Raw_Data!B120)))</f>
        <v>Monitor</v>
      </c>
      <c r="C120" t="str">
        <f>IF(TRIM(Raw_Data!C120)="","South",TRIM(Raw_Data!C120))</f>
        <v>North</v>
      </c>
      <c r="D120">
        <f>IF(TRIM(Raw_Data!D120)="",30435.80739,Raw_Data!D120)</f>
        <v>20727.41</v>
      </c>
      <c r="E120" t="str">
        <f>TEXT(Raw_Data!E120,"DD-MM-YYYY")</f>
        <v>24-02-2024</v>
      </c>
    </row>
    <row r="121" spans="1:5" x14ac:dyDescent="0.3">
      <c r="A121">
        <v>1119</v>
      </c>
      <c r="B121" t="str">
        <f>IF(TRIM(Raw_Data!B121)="","Unknown",PROPER(TRIM(Raw_Data!B121)))</f>
        <v>Tablet</v>
      </c>
      <c r="C121" t="str">
        <f>IF(TRIM(Raw_Data!C121)="","South",TRIM(Raw_Data!C121))</f>
        <v>West</v>
      </c>
      <c r="D121">
        <f>IF(TRIM(Raw_Data!D121)="",30435.80739,Raw_Data!D121)</f>
        <v>30435.807390000002</v>
      </c>
      <c r="E121" t="str">
        <f>TEXT(Raw_Data!E121,"DD-MM-YYYY")</f>
        <v>14-10-2024</v>
      </c>
    </row>
    <row r="122" spans="1:5" x14ac:dyDescent="0.3">
      <c r="A122">
        <v>1120</v>
      </c>
      <c r="B122" t="str">
        <f>IF(TRIM(Raw_Data!B122)="","Unknown",PROPER(TRIM(Raw_Data!B122)))</f>
        <v>Tablet</v>
      </c>
      <c r="C122" t="str">
        <f>IF(TRIM(Raw_Data!C122)="","South",TRIM(Raw_Data!C122))</f>
        <v>North</v>
      </c>
      <c r="D122">
        <f>IF(TRIM(Raw_Data!D122)="",30435.80739,Raw_Data!D122)</f>
        <v>2162.92</v>
      </c>
      <c r="E122" t="str">
        <f>TEXT(Raw_Data!E122,"DD-MM-YYYY")</f>
        <v>23-02-2024</v>
      </c>
    </row>
    <row r="123" spans="1:5" x14ac:dyDescent="0.3">
      <c r="A123">
        <v>1121</v>
      </c>
      <c r="B123" t="str">
        <f>IF(TRIM(Raw_Data!B123)="","Unknown",PROPER(TRIM(Raw_Data!B123)))</f>
        <v>Keyboard</v>
      </c>
      <c r="C123" t="str">
        <f>IF(TRIM(Raw_Data!C123)="","South",TRIM(Raw_Data!C123))</f>
        <v>South</v>
      </c>
      <c r="D123">
        <f>IF(TRIM(Raw_Data!D123)="",30435.80739,Raw_Data!D123)</f>
        <v>59335</v>
      </c>
      <c r="E123" t="str">
        <f>TEXT(Raw_Data!E123,"DD-MM-YYYY")</f>
        <v>14-10-2024</v>
      </c>
    </row>
    <row r="124" spans="1:5" x14ac:dyDescent="0.3">
      <c r="A124">
        <v>1122</v>
      </c>
      <c r="B124" t="str">
        <f>IF(TRIM(Raw_Data!B124)="","Unknown",PROPER(TRIM(Raw_Data!B124)))</f>
        <v>Mouse</v>
      </c>
      <c r="C124" t="str">
        <f>IF(TRIM(Raw_Data!C124)="","South",TRIM(Raw_Data!C124))</f>
        <v>North</v>
      </c>
      <c r="D124">
        <f>IF(TRIM(Raw_Data!D124)="",30435.80739,Raw_Data!D124)</f>
        <v>53883.81</v>
      </c>
      <c r="E124" t="str">
        <f>TEXT(Raw_Data!E124,"DD-MM-YYYY")</f>
        <v>07-01-2024</v>
      </c>
    </row>
    <row r="125" spans="1:5" x14ac:dyDescent="0.3">
      <c r="A125">
        <v>1123</v>
      </c>
      <c r="B125" t="str">
        <f>IF(TRIM(Raw_Data!B125)="","Unknown",PROPER(TRIM(Raw_Data!B125)))</f>
        <v>Monitor</v>
      </c>
      <c r="C125" t="str">
        <f>IF(TRIM(Raw_Data!C125)="","South",TRIM(Raw_Data!C125))</f>
        <v>West</v>
      </c>
      <c r="D125">
        <f>IF(TRIM(Raw_Data!D125)="",30435.80739,Raw_Data!D125)</f>
        <v>42532.82</v>
      </c>
      <c r="E125" t="str">
        <f>TEXT(Raw_Data!E125,"DD-MM-YYYY")</f>
        <v>29-10-2024</v>
      </c>
    </row>
    <row r="126" spans="1:5" x14ac:dyDescent="0.3">
      <c r="A126">
        <v>1124</v>
      </c>
      <c r="B126" t="str">
        <f>IF(TRIM(Raw_Data!B126)="","Unknown",PROPER(TRIM(Raw_Data!B126)))</f>
        <v>Monitor</v>
      </c>
      <c r="C126" t="str">
        <f>IF(TRIM(Raw_Data!C126)="","South",TRIM(Raw_Data!C126))</f>
        <v>South</v>
      </c>
      <c r="D126">
        <f>IF(TRIM(Raw_Data!D126)="",30435.80739,Raw_Data!D126)</f>
        <v>21366.34</v>
      </c>
      <c r="E126" t="str">
        <f>TEXT(Raw_Data!E126,"DD-MM-YYYY")</f>
        <v>12-09-2024</v>
      </c>
    </row>
    <row r="127" spans="1:5" x14ac:dyDescent="0.3">
      <c r="A127">
        <v>1125</v>
      </c>
      <c r="B127" t="str">
        <f>IF(TRIM(Raw_Data!B127)="","Unknown",PROPER(TRIM(Raw_Data!B127)))</f>
        <v>Tablet</v>
      </c>
      <c r="C127" t="str">
        <f>IF(TRIM(Raw_Data!C127)="","South",TRIM(Raw_Data!C127))</f>
        <v>East</v>
      </c>
      <c r="D127">
        <f>IF(TRIM(Raw_Data!D127)="",30435.80739,Raw_Data!D127)</f>
        <v>52239.61</v>
      </c>
      <c r="E127" t="str">
        <f>TEXT(Raw_Data!E127,"DD-MM-YYYY")</f>
        <v>29-04-2024</v>
      </c>
    </row>
    <row r="128" spans="1:5" x14ac:dyDescent="0.3">
      <c r="A128">
        <v>1126</v>
      </c>
      <c r="B128" t="str">
        <f>IF(TRIM(Raw_Data!B128)="","Unknown",PROPER(TRIM(Raw_Data!B128)))</f>
        <v>Monitor</v>
      </c>
      <c r="C128" t="str">
        <f>IF(TRIM(Raw_Data!C128)="","South",TRIM(Raw_Data!C128))</f>
        <v>South</v>
      </c>
      <c r="D128">
        <f>IF(TRIM(Raw_Data!D128)="",30435.80739,Raw_Data!D128)</f>
        <v>42231.91</v>
      </c>
      <c r="E128" t="str">
        <f>TEXT(Raw_Data!E128,"DD-MM-YYYY")</f>
        <v>07-10-2024</v>
      </c>
    </row>
    <row r="129" spans="1:5" x14ac:dyDescent="0.3">
      <c r="A129">
        <v>1127</v>
      </c>
      <c r="B129" t="str">
        <f>IF(TRIM(Raw_Data!B129)="","Unknown",PROPER(TRIM(Raw_Data!B129)))</f>
        <v>Tablet</v>
      </c>
      <c r="C129" t="str">
        <f>IF(TRIM(Raw_Data!C129)="","South",TRIM(Raw_Data!C129))</f>
        <v>West</v>
      </c>
      <c r="D129">
        <f>IF(TRIM(Raw_Data!D129)="",30435.80739,Raw_Data!D129)</f>
        <v>11129.08</v>
      </c>
      <c r="E129" t="str">
        <f>TEXT(Raw_Data!E129,"DD-MM-YYYY")</f>
        <v>02-08-2024</v>
      </c>
    </row>
    <row r="130" spans="1:5" x14ac:dyDescent="0.3">
      <c r="A130">
        <v>1128</v>
      </c>
      <c r="B130" t="str">
        <f>IF(TRIM(Raw_Data!B130)="","Unknown",PROPER(TRIM(Raw_Data!B130)))</f>
        <v>Laptop</v>
      </c>
      <c r="C130" t="str">
        <f>IF(TRIM(Raw_Data!C130)="","South",TRIM(Raw_Data!C130))</f>
        <v>East</v>
      </c>
      <c r="D130">
        <f>IF(TRIM(Raw_Data!D130)="",30435.80739,Raw_Data!D130)</f>
        <v>24909.64</v>
      </c>
      <c r="E130" t="str">
        <f>TEXT(Raw_Data!E130,"DD-MM-YYYY")</f>
        <v>16-03-2024</v>
      </c>
    </row>
    <row r="131" spans="1:5" x14ac:dyDescent="0.3">
      <c r="A131">
        <v>1782</v>
      </c>
      <c r="B131" t="str">
        <f>IF(TRIM(Raw_Data!B131)="","Unknown",PROPER(TRIM(Raw_Data!B131)))</f>
        <v>Keyboard</v>
      </c>
      <c r="C131" t="str">
        <f>IF(TRIM(Raw_Data!C131)="","South",TRIM(Raw_Data!C131))</f>
        <v>West</v>
      </c>
      <c r="D131">
        <f>IF(TRIM(Raw_Data!D131)="",30435.80739,Raw_Data!D131)</f>
        <v>36247.370000000003</v>
      </c>
      <c r="E131" t="str">
        <f>TEXT(Raw_Data!E131,"DD-MM-YYYY")</f>
        <v>24-09-2024</v>
      </c>
    </row>
    <row r="132" spans="1:5" x14ac:dyDescent="0.3">
      <c r="A132">
        <v>1130</v>
      </c>
      <c r="B132" t="str">
        <f>IF(TRIM(Raw_Data!B132)="","Unknown",PROPER(TRIM(Raw_Data!B132)))</f>
        <v>Keyboard</v>
      </c>
      <c r="C132" t="str">
        <f>IF(TRIM(Raw_Data!C132)="","South",TRIM(Raw_Data!C132))</f>
        <v>North</v>
      </c>
      <c r="D132">
        <f>IF(TRIM(Raw_Data!D132)="",30435.80739,Raw_Data!D132)</f>
        <v>25900.13</v>
      </c>
      <c r="E132" t="str">
        <f>TEXT(Raw_Data!E132,"DD-MM-YYYY")</f>
        <v>09-05-2024</v>
      </c>
    </row>
    <row r="133" spans="1:5" x14ac:dyDescent="0.3">
      <c r="A133">
        <v>1131</v>
      </c>
      <c r="B133" t="str">
        <f>IF(TRIM(Raw_Data!B133)="","Unknown",PROPER(TRIM(Raw_Data!B133)))</f>
        <v>Tablet</v>
      </c>
      <c r="C133" t="str">
        <f>IF(TRIM(Raw_Data!C133)="","South",TRIM(Raw_Data!C133))</f>
        <v>North</v>
      </c>
      <c r="D133">
        <f>IF(TRIM(Raw_Data!D133)="",30435.80739,Raw_Data!D133)</f>
        <v>23968.44</v>
      </c>
      <c r="E133" t="str">
        <f>TEXT(Raw_Data!E133,"DD-MM-YYYY")</f>
        <v>22-10-2024</v>
      </c>
    </row>
    <row r="134" spans="1:5" x14ac:dyDescent="0.3">
      <c r="A134">
        <v>1132</v>
      </c>
      <c r="B134" t="str">
        <f>IF(TRIM(Raw_Data!B134)="","Unknown",PROPER(TRIM(Raw_Data!B134)))</f>
        <v>Tablet</v>
      </c>
      <c r="C134" t="str">
        <f>IF(TRIM(Raw_Data!C134)="","South",TRIM(Raw_Data!C134))</f>
        <v>East</v>
      </c>
      <c r="D134">
        <f>IF(TRIM(Raw_Data!D134)="",30435.80739,Raw_Data!D134)</f>
        <v>57291.13</v>
      </c>
      <c r="E134" t="str">
        <f>TEXT(Raw_Data!E134,"DD-MM-YYYY")</f>
        <v>09-03-2024</v>
      </c>
    </row>
    <row r="135" spans="1:5" x14ac:dyDescent="0.3">
      <c r="A135">
        <v>1133</v>
      </c>
      <c r="B135" t="str">
        <f>IF(TRIM(Raw_Data!B135)="","Unknown",PROPER(TRIM(Raw_Data!B135)))</f>
        <v>Mouse</v>
      </c>
      <c r="C135" t="str">
        <f>IF(TRIM(Raw_Data!C135)="","South",TRIM(Raw_Data!C135))</f>
        <v>South</v>
      </c>
      <c r="D135">
        <f>IF(TRIM(Raw_Data!D135)="",30435.80739,Raw_Data!D135)</f>
        <v>57358.94</v>
      </c>
      <c r="E135" t="str">
        <f>TEXT(Raw_Data!E135,"DD-MM-YYYY")</f>
        <v>19-07-2024</v>
      </c>
    </row>
    <row r="136" spans="1:5" x14ac:dyDescent="0.3">
      <c r="A136">
        <v>1134</v>
      </c>
      <c r="B136" t="str">
        <f>IF(TRIM(Raw_Data!B136)="","Unknown",PROPER(TRIM(Raw_Data!B136)))</f>
        <v>Laptop</v>
      </c>
      <c r="C136" t="str">
        <f>IF(TRIM(Raw_Data!C136)="","South",TRIM(Raw_Data!C136))</f>
        <v>South</v>
      </c>
      <c r="D136">
        <f>IF(TRIM(Raw_Data!D136)="",30435.80739,Raw_Data!D136)</f>
        <v>26654.81</v>
      </c>
      <c r="E136" t="str">
        <f>TEXT(Raw_Data!E136,"DD-MM-YYYY")</f>
        <v>08-02-2024</v>
      </c>
    </row>
    <row r="137" spans="1:5" x14ac:dyDescent="0.3">
      <c r="A137">
        <v>1135</v>
      </c>
      <c r="B137" t="str">
        <f>IF(TRIM(Raw_Data!B137)="","Unknown",PROPER(TRIM(Raw_Data!B137)))</f>
        <v>Unknown</v>
      </c>
      <c r="C137" t="str">
        <f>IF(TRIM(Raw_Data!C137)="","South",TRIM(Raw_Data!C137))</f>
        <v>East</v>
      </c>
      <c r="D137">
        <f>IF(TRIM(Raw_Data!D137)="",30435.80739,Raw_Data!D137)</f>
        <v>30435.807390000002</v>
      </c>
      <c r="E137" t="str">
        <f>TEXT(Raw_Data!E137,"DD-MM-YYYY")</f>
        <v>12-01-2024</v>
      </c>
    </row>
    <row r="138" spans="1:5" x14ac:dyDescent="0.3">
      <c r="A138">
        <v>1136</v>
      </c>
      <c r="B138" t="str">
        <f>IF(TRIM(Raw_Data!B138)="","Unknown",PROPER(TRIM(Raw_Data!B138)))</f>
        <v>Tablet</v>
      </c>
      <c r="C138" t="str">
        <f>IF(TRIM(Raw_Data!C138)="","South",TRIM(Raw_Data!C138))</f>
        <v>South</v>
      </c>
      <c r="D138">
        <f>IF(TRIM(Raw_Data!D138)="",30435.80739,Raw_Data!D138)</f>
        <v>11922.84</v>
      </c>
      <c r="E138" t="str">
        <f>TEXT(Raw_Data!E138,"DD-MM-YYYY")</f>
        <v>13-11-2024</v>
      </c>
    </row>
    <row r="139" spans="1:5" x14ac:dyDescent="0.3">
      <c r="A139">
        <v>1137</v>
      </c>
      <c r="B139" t="str">
        <f>IF(TRIM(Raw_Data!B139)="","Unknown",PROPER(TRIM(Raw_Data!B139)))</f>
        <v>Mouse</v>
      </c>
      <c r="C139" t="str">
        <f>IF(TRIM(Raw_Data!C139)="","South",TRIM(Raw_Data!C139))</f>
        <v>North</v>
      </c>
      <c r="D139">
        <f>IF(TRIM(Raw_Data!D139)="",30435.80739,Raw_Data!D139)</f>
        <v>58854.03</v>
      </c>
      <c r="E139" t="str">
        <f>TEXT(Raw_Data!E139,"DD-MM-YYYY")</f>
        <v>29-03-2024</v>
      </c>
    </row>
    <row r="140" spans="1:5" x14ac:dyDescent="0.3">
      <c r="A140">
        <v>1138</v>
      </c>
      <c r="B140" t="str">
        <f>IF(TRIM(Raw_Data!B140)="","Unknown",PROPER(TRIM(Raw_Data!B140)))</f>
        <v>Laptop</v>
      </c>
      <c r="C140" t="str">
        <f>IF(TRIM(Raw_Data!C140)="","South",TRIM(Raw_Data!C140))</f>
        <v>South</v>
      </c>
      <c r="D140">
        <f>IF(TRIM(Raw_Data!D140)="",30435.80739,Raw_Data!D140)</f>
        <v>59961.86</v>
      </c>
      <c r="E140" t="str">
        <f>TEXT(Raw_Data!E140,"DD-MM-YYYY")</f>
        <v>08-10-2024</v>
      </c>
    </row>
    <row r="141" spans="1:5" x14ac:dyDescent="0.3">
      <c r="A141">
        <v>1139</v>
      </c>
      <c r="B141" t="str">
        <f>IF(TRIM(Raw_Data!B141)="","Unknown",PROPER(TRIM(Raw_Data!B141)))</f>
        <v>Mouse</v>
      </c>
      <c r="C141" t="str">
        <f>IF(TRIM(Raw_Data!C141)="","South",TRIM(Raw_Data!C141))</f>
        <v>East</v>
      </c>
      <c r="D141">
        <f>IF(TRIM(Raw_Data!D141)="",30435.80739,Raw_Data!D141)</f>
        <v>58292.44</v>
      </c>
      <c r="E141" t="str">
        <f>TEXT(Raw_Data!E141,"DD-MM-YYYY")</f>
        <v>02-08-2024</v>
      </c>
    </row>
    <row r="142" spans="1:5" x14ac:dyDescent="0.3">
      <c r="A142">
        <v>1140</v>
      </c>
      <c r="B142" t="str">
        <f>IF(TRIM(Raw_Data!B142)="","Unknown",PROPER(TRIM(Raw_Data!B142)))</f>
        <v>Laptop</v>
      </c>
      <c r="C142" t="str">
        <f>IF(TRIM(Raw_Data!C142)="","South",TRIM(Raw_Data!C142))</f>
        <v>West</v>
      </c>
      <c r="D142">
        <f>IF(TRIM(Raw_Data!D142)="",30435.80739,Raw_Data!D142)</f>
        <v>39359.870000000003</v>
      </c>
      <c r="E142" t="str">
        <f>TEXT(Raw_Data!E142,"DD-MM-YYYY")</f>
        <v>31-05-2024</v>
      </c>
    </row>
    <row r="143" spans="1:5" x14ac:dyDescent="0.3">
      <c r="A143">
        <v>1141</v>
      </c>
      <c r="B143" t="str">
        <f>IF(TRIM(Raw_Data!B143)="","Unknown",PROPER(TRIM(Raw_Data!B143)))</f>
        <v>Tablet</v>
      </c>
      <c r="C143" t="str">
        <f>IF(TRIM(Raw_Data!C143)="","South",TRIM(Raw_Data!C143))</f>
        <v>East</v>
      </c>
      <c r="D143">
        <f>IF(TRIM(Raw_Data!D143)="",30435.80739,Raw_Data!D143)</f>
        <v>43761.24</v>
      </c>
      <c r="E143" t="str">
        <f>TEXT(Raw_Data!E143,"DD-MM-YYYY")</f>
        <v>29-12-2024</v>
      </c>
    </row>
    <row r="144" spans="1:5" x14ac:dyDescent="0.3">
      <c r="A144">
        <v>1142</v>
      </c>
      <c r="B144" t="str">
        <f>IF(TRIM(Raw_Data!B144)="","Unknown",PROPER(TRIM(Raw_Data!B144)))</f>
        <v>Laptop</v>
      </c>
      <c r="C144" t="str">
        <f>IF(TRIM(Raw_Data!C144)="","South",TRIM(Raw_Data!C144))</f>
        <v>South</v>
      </c>
      <c r="D144">
        <f>IF(TRIM(Raw_Data!D144)="",30435.80739,Raw_Data!D144)</f>
        <v>26182.21</v>
      </c>
      <c r="E144" t="str">
        <f>TEXT(Raw_Data!E144,"DD-MM-YYYY")</f>
        <v>17-04-2024</v>
      </c>
    </row>
    <row r="145" spans="1:5" x14ac:dyDescent="0.3">
      <c r="A145">
        <v>1143</v>
      </c>
      <c r="B145" t="str">
        <f>IF(TRIM(Raw_Data!B145)="","Unknown",PROPER(TRIM(Raw_Data!B145)))</f>
        <v>Keyboard</v>
      </c>
      <c r="C145" t="str">
        <f>IF(TRIM(Raw_Data!C145)="","South",TRIM(Raw_Data!C145))</f>
        <v>South</v>
      </c>
      <c r="D145">
        <f>IF(TRIM(Raw_Data!D145)="",30435.80739,Raw_Data!D145)</f>
        <v>32207.29</v>
      </c>
      <c r="E145" t="str">
        <f>TEXT(Raw_Data!E145,"DD-MM-YYYY")</f>
        <v>05-04-2024</v>
      </c>
    </row>
    <row r="146" spans="1:5" x14ac:dyDescent="0.3">
      <c r="A146">
        <v>1144</v>
      </c>
      <c r="B146" t="str">
        <f>IF(TRIM(Raw_Data!B146)="","Unknown",PROPER(TRIM(Raw_Data!B146)))</f>
        <v>Keyboard</v>
      </c>
      <c r="C146" t="str">
        <f>IF(TRIM(Raw_Data!C146)="","South",TRIM(Raw_Data!C146))</f>
        <v>East</v>
      </c>
      <c r="D146">
        <f>IF(TRIM(Raw_Data!D146)="",30435.80739,Raw_Data!D146)</f>
        <v>38022.82</v>
      </c>
      <c r="E146" t="str">
        <f>TEXT(Raw_Data!E146,"DD-MM-YYYY")</f>
        <v>23-08-2024</v>
      </c>
    </row>
    <row r="147" spans="1:5" x14ac:dyDescent="0.3">
      <c r="A147">
        <v>1145</v>
      </c>
      <c r="B147" t="str">
        <f>IF(TRIM(Raw_Data!B147)="","Unknown",PROPER(TRIM(Raw_Data!B147)))</f>
        <v>Laptop</v>
      </c>
      <c r="C147" t="str">
        <f>IF(TRIM(Raw_Data!C147)="","South",TRIM(Raw_Data!C147))</f>
        <v>South</v>
      </c>
      <c r="D147">
        <f>IF(TRIM(Raw_Data!D147)="",30435.80739,Raw_Data!D147)</f>
        <v>7517.97</v>
      </c>
      <c r="E147" t="str">
        <f>TEXT(Raw_Data!E147,"DD-MM-YYYY")</f>
        <v>21-05-2024</v>
      </c>
    </row>
    <row r="148" spans="1:5" x14ac:dyDescent="0.3">
      <c r="A148">
        <v>1146</v>
      </c>
      <c r="B148" t="str">
        <f>IF(TRIM(Raw_Data!B148)="","Unknown",PROPER(TRIM(Raw_Data!B148)))</f>
        <v>Mouse</v>
      </c>
      <c r="C148" t="str">
        <f>IF(TRIM(Raw_Data!C148)="","South",TRIM(Raw_Data!C148))</f>
        <v>South</v>
      </c>
      <c r="D148">
        <f>IF(TRIM(Raw_Data!D148)="",30435.80739,Raw_Data!D148)</f>
        <v>54710.01</v>
      </c>
      <c r="E148" t="str">
        <f>TEXT(Raw_Data!E148,"DD-MM-YYYY")</f>
        <v>13-03-2024</v>
      </c>
    </row>
    <row r="149" spans="1:5" x14ac:dyDescent="0.3">
      <c r="A149">
        <v>1147</v>
      </c>
      <c r="B149" t="str">
        <f>IF(TRIM(Raw_Data!B149)="","Unknown",PROPER(TRIM(Raw_Data!B149)))</f>
        <v>Mouse</v>
      </c>
      <c r="C149" t="str">
        <f>IF(TRIM(Raw_Data!C149)="","South",TRIM(Raw_Data!C149))</f>
        <v>West</v>
      </c>
      <c r="D149">
        <f>IF(TRIM(Raw_Data!D149)="",30435.80739,Raw_Data!D149)</f>
        <v>16279.98</v>
      </c>
      <c r="E149" t="str">
        <f>TEXT(Raw_Data!E149,"DD-MM-YYYY")</f>
        <v>16-07-2024</v>
      </c>
    </row>
    <row r="150" spans="1:5" x14ac:dyDescent="0.3">
      <c r="A150">
        <v>1148</v>
      </c>
      <c r="B150" t="str">
        <f>IF(TRIM(Raw_Data!B150)="","Unknown",PROPER(TRIM(Raw_Data!B150)))</f>
        <v>Monitor</v>
      </c>
      <c r="C150" t="str">
        <f>IF(TRIM(Raw_Data!C150)="","South",TRIM(Raw_Data!C150))</f>
        <v>West</v>
      </c>
      <c r="D150">
        <f>IF(TRIM(Raw_Data!D150)="",30435.80739,Raw_Data!D150)</f>
        <v>4834.2</v>
      </c>
      <c r="E150" t="str">
        <f>TEXT(Raw_Data!E150,"DD-MM-YYYY")</f>
        <v>12-03-2024</v>
      </c>
    </row>
    <row r="151" spans="1:5" x14ac:dyDescent="0.3">
      <c r="A151">
        <v>1149</v>
      </c>
      <c r="B151" t="str">
        <f>IF(TRIM(Raw_Data!B151)="","Unknown",PROPER(TRIM(Raw_Data!B151)))</f>
        <v>Laptop</v>
      </c>
      <c r="C151" t="str">
        <f>IF(TRIM(Raw_Data!C151)="","South",TRIM(Raw_Data!C151))</f>
        <v>East</v>
      </c>
      <c r="D151">
        <f>IF(TRIM(Raw_Data!D151)="",30435.80739,Raw_Data!D151)</f>
        <v>14008.69</v>
      </c>
      <c r="E151" t="str">
        <f>TEXT(Raw_Data!E151,"DD-MM-YYYY")</f>
        <v>28-08-2024</v>
      </c>
    </row>
    <row r="152" spans="1:5" x14ac:dyDescent="0.3">
      <c r="A152">
        <v>1150</v>
      </c>
      <c r="B152" t="str">
        <f>IF(TRIM(Raw_Data!B152)="","Unknown",PROPER(TRIM(Raw_Data!B152)))</f>
        <v>Mouse</v>
      </c>
      <c r="C152" t="str">
        <f>IF(TRIM(Raw_Data!C152)="","South",TRIM(Raw_Data!C152))</f>
        <v>South</v>
      </c>
      <c r="D152">
        <f>IF(TRIM(Raw_Data!D152)="",30435.80739,Raw_Data!D152)</f>
        <v>36239.17</v>
      </c>
      <c r="E152" t="str">
        <f>TEXT(Raw_Data!E152,"DD-MM-YYYY")</f>
        <v>28-08-2024</v>
      </c>
    </row>
    <row r="153" spans="1:5" x14ac:dyDescent="0.3">
      <c r="A153">
        <v>1151</v>
      </c>
      <c r="B153" t="str">
        <f>IF(TRIM(Raw_Data!B153)="","Unknown",PROPER(TRIM(Raw_Data!B153)))</f>
        <v>Keyboard</v>
      </c>
      <c r="C153" t="str">
        <f>IF(TRIM(Raw_Data!C153)="","South",TRIM(Raw_Data!C153))</f>
        <v>West</v>
      </c>
      <c r="D153">
        <f>IF(TRIM(Raw_Data!D153)="",30435.80739,Raw_Data!D153)</f>
        <v>49134.15</v>
      </c>
      <c r="E153" t="str">
        <f>TEXT(Raw_Data!E153,"DD-MM-YYYY")</f>
        <v>25-09-2024</v>
      </c>
    </row>
    <row r="154" spans="1:5" x14ac:dyDescent="0.3">
      <c r="A154">
        <v>1152</v>
      </c>
      <c r="B154" t="str">
        <f>IF(TRIM(Raw_Data!B154)="","Unknown",PROPER(TRIM(Raw_Data!B154)))</f>
        <v>Laptop</v>
      </c>
      <c r="C154" t="str">
        <f>IF(TRIM(Raw_Data!C154)="","South",TRIM(Raw_Data!C154))</f>
        <v>West</v>
      </c>
      <c r="D154">
        <f>IF(TRIM(Raw_Data!D154)="",30435.80739,Raw_Data!D154)</f>
        <v>52770.19</v>
      </c>
      <c r="E154" t="str">
        <f>TEXT(Raw_Data!E154,"DD-MM-YYYY")</f>
        <v>18-11-2024</v>
      </c>
    </row>
    <row r="155" spans="1:5" x14ac:dyDescent="0.3">
      <c r="A155">
        <v>1153</v>
      </c>
      <c r="B155" t="str">
        <f>IF(TRIM(Raw_Data!B155)="","Unknown",PROPER(TRIM(Raw_Data!B155)))</f>
        <v>Unknown</v>
      </c>
      <c r="C155" t="str">
        <f>IF(TRIM(Raw_Data!C155)="","South",TRIM(Raw_Data!C155))</f>
        <v>East</v>
      </c>
      <c r="D155">
        <f>IF(TRIM(Raw_Data!D155)="",30435.80739,Raw_Data!D155)</f>
        <v>30435.807390000002</v>
      </c>
      <c r="E155" t="str">
        <f>TEXT(Raw_Data!E155,"DD-MM-YYYY")</f>
        <v>09-02-2024</v>
      </c>
    </row>
    <row r="156" spans="1:5" x14ac:dyDescent="0.3">
      <c r="A156">
        <v>1154</v>
      </c>
      <c r="B156" t="str">
        <f>IF(TRIM(Raw_Data!B156)="","Unknown",PROPER(TRIM(Raw_Data!B156)))</f>
        <v>Tablet</v>
      </c>
      <c r="C156" t="str">
        <f>IF(TRIM(Raw_Data!C156)="","South",TRIM(Raw_Data!C156))</f>
        <v>South</v>
      </c>
      <c r="D156">
        <f>IF(TRIM(Raw_Data!D156)="",30435.80739,Raw_Data!D156)</f>
        <v>3878.23</v>
      </c>
      <c r="E156" t="str">
        <f>TEXT(Raw_Data!E156,"DD-MM-YYYY")</f>
        <v>06-02-2024</v>
      </c>
    </row>
    <row r="157" spans="1:5" x14ac:dyDescent="0.3">
      <c r="A157">
        <v>1155</v>
      </c>
      <c r="B157" t="str">
        <f>IF(TRIM(Raw_Data!B157)="","Unknown",PROPER(TRIM(Raw_Data!B157)))</f>
        <v>Laptop</v>
      </c>
      <c r="C157" t="str">
        <f>IF(TRIM(Raw_Data!C157)="","South",TRIM(Raw_Data!C157))</f>
        <v>East</v>
      </c>
      <c r="D157">
        <f>IF(TRIM(Raw_Data!D157)="",30435.80739,Raw_Data!D157)</f>
        <v>29354.61</v>
      </c>
      <c r="E157" t="str">
        <f>TEXT(Raw_Data!E157,"DD-MM-YYYY")</f>
        <v>14-12-2024</v>
      </c>
    </row>
    <row r="158" spans="1:5" x14ac:dyDescent="0.3">
      <c r="A158">
        <v>1156</v>
      </c>
      <c r="B158" t="str">
        <f>IF(TRIM(Raw_Data!B158)="","Unknown",PROPER(TRIM(Raw_Data!B158)))</f>
        <v>Mouse</v>
      </c>
      <c r="C158" t="str">
        <f>IF(TRIM(Raw_Data!C158)="","South",TRIM(Raw_Data!C158))</f>
        <v>North</v>
      </c>
      <c r="D158">
        <f>IF(TRIM(Raw_Data!D158)="",30435.80739,Raw_Data!D158)</f>
        <v>31754.36</v>
      </c>
      <c r="E158" t="str">
        <f>TEXT(Raw_Data!E158,"DD-MM-YYYY")</f>
        <v>01-12-2024</v>
      </c>
    </row>
    <row r="159" spans="1:5" x14ac:dyDescent="0.3">
      <c r="A159">
        <v>1157</v>
      </c>
      <c r="B159" t="str">
        <f>IF(TRIM(Raw_Data!B159)="","Unknown",PROPER(TRIM(Raw_Data!B159)))</f>
        <v>Tablet</v>
      </c>
      <c r="C159" t="str">
        <f>IF(TRIM(Raw_Data!C159)="","South",TRIM(Raw_Data!C159))</f>
        <v>East</v>
      </c>
      <c r="D159">
        <f>IF(TRIM(Raw_Data!D159)="",30435.80739,Raw_Data!D159)</f>
        <v>41128.31</v>
      </c>
      <c r="E159" t="str">
        <f>TEXT(Raw_Data!E159,"DD-MM-YYYY")</f>
        <v>09-07-2024</v>
      </c>
    </row>
    <row r="160" spans="1:5" x14ac:dyDescent="0.3">
      <c r="A160">
        <v>1158</v>
      </c>
      <c r="B160" t="str">
        <f>IF(TRIM(Raw_Data!B160)="","Unknown",PROPER(TRIM(Raw_Data!B160)))</f>
        <v>Mouse</v>
      </c>
      <c r="C160" t="str">
        <f>IF(TRIM(Raw_Data!C160)="","South",TRIM(Raw_Data!C160))</f>
        <v>North</v>
      </c>
      <c r="D160">
        <f>IF(TRIM(Raw_Data!D160)="",30435.80739,Raw_Data!D160)</f>
        <v>1303.57</v>
      </c>
      <c r="E160" t="str">
        <f>TEXT(Raw_Data!E160,"DD-MM-YYYY")</f>
        <v>08-06-2024</v>
      </c>
    </row>
    <row r="161" spans="1:5" x14ac:dyDescent="0.3">
      <c r="A161">
        <v>1159</v>
      </c>
      <c r="B161" t="str">
        <f>IF(TRIM(Raw_Data!B161)="","Unknown",PROPER(TRIM(Raw_Data!B161)))</f>
        <v>Keyboard</v>
      </c>
      <c r="C161" t="str">
        <f>IF(TRIM(Raw_Data!C161)="","South",TRIM(Raw_Data!C161))</f>
        <v>South</v>
      </c>
      <c r="D161">
        <f>IF(TRIM(Raw_Data!D161)="",30435.80739,Raw_Data!D161)</f>
        <v>1376.77</v>
      </c>
      <c r="E161" t="str">
        <f>TEXT(Raw_Data!E161,"DD-MM-YYYY")</f>
        <v>11-08-2024</v>
      </c>
    </row>
    <row r="162" spans="1:5" x14ac:dyDescent="0.3">
      <c r="A162">
        <v>1160</v>
      </c>
      <c r="B162" t="str">
        <f>IF(TRIM(Raw_Data!B162)="","Unknown",PROPER(TRIM(Raw_Data!B162)))</f>
        <v>Tablet</v>
      </c>
      <c r="C162" t="str">
        <f>IF(TRIM(Raw_Data!C162)="","South",TRIM(Raw_Data!C162))</f>
        <v>South</v>
      </c>
      <c r="D162">
        <f>IF(TRIM(Raw_Data!D162)="",30435.80739,Raw_Data!D162)</f>
        <v>1535.27</v>
      </c>
      <c r="E162" t="str">
        <f>TEXT(Raw_Data!E162,"DD-MM-YYYY")</f>
        <v>30-12-2024</v>
      </c>
    </row>
    <row r="163" spans="1:5" x14ac:dyDescent="0.3">
      <c r="A163">
        <v>1161</v>
      </c>
      <c r="B163" t="str">
        <f>IF(TRIM(Raw_Data!B163)="","Unknown",PROPER(TRIM(Raw_Data!B163)))</f>
        <v>Mouse</v>
      </c>
      <c r="C163" t="str">
        <f>IF(TRIM(Raw_Data!C163)="","South",TRIM(Raw_Data!C163))</f>
        <v>West</v>
      </c>
      <c r="D163">
        <f>IF(TRIM(Raw_Data!D163)="",30435.80739,Raw_Data!D163)</f>
        <v>38324.69</v>
      </c>
      <c r="E163" t="str">
        <f>TEXT(Raw_Data!E163,"DD-MM-YYYY")</f>
        <v>09-08-2024</v>
      </c>
    </row>
    <row r="164" spans="1:5" x14ac:dyDescent="0.3">
      <c r="A164">
        <v>1162</v>
      </c>
      <c r="B164" t="str">
        <f>IF(TRIM(Raw_Data!B164)="","Unknown",PROPER(TRIM(Raw_Data!B164)))</f>
        <v>Keyboard</v>
      </c>
      <c r="C164" t="str">
        <f>IF(TRIM(Raw_Data!C164)="","South",TRIM(Raw_Data!C164))</f>
        <v>East</v>
      </c>
      <c r="D164">
        <f>IF(TRIM(Raw_Data!D164)="",30435.80739,Raw_Data!D164)</f>
        <v>46488.07</v>
      </c>
      <c r="E164" t="str">
        <f>TEXT(Raw_Data!E164,"DD-MM-YYYY")</f>
        <v>11-07-2024</v>
      </c>
    </row>
    <row r="165" spans="1:5" x14ac:dyDescent="0.3">
      <c r="A165">
        <v>1163</v>
      </c>
      <c r="B165" t="str">
        <f>IF(TRIM(Raw_Data!B165)="","Unknown",PROPER(TRIM(Raw_Data!B165)))</f>
        <v>Keyboard</v>
      </c>
      <c r="C165" t="str">
        <f>IF(TRIM(Raw_Data!C165)="","South",TRIM(Raw_Data!C165))</f>
        <v>North</v>
      </c>
      <c r="D165">
        <f>IF(TRIM(Raw_Data!D165)="",30435.80739,Raw_Data!D165)</f>
        <v>27311.54</v>
      </c>
      <c r="E165" t="str">
        <f>TEXT(Raw_Data!E165,"DD-MM-YYYY")</f>
        <v>07-09-2024</v>
      </c>
    </row>
    <row r="166" spans="1:5" x14ac:dyDescent="0.3">
      <c r="A166">
        <v>1164</v>
      </c>
      <c r="B166" t="str">
        <f>IF(TRIM(Raw_Data!B166)="","Unknown",PROPER(TRIM(Raw_Data!B166)))</f>
        <v>Unknown</v>
      </c>
      <c r="C166" t="str">
        <f>IF(TRIM(Raw_Data!C166)="","South",TRIM(Raw_Data!C166))</f>
        <v>South</v>
      </c>
      <c r="D166">
        <f>IF(TRIM(Raw_Data!D166)="",30435.80739,Raw_Data!D166)</f>
        <v>29829.95</v>
      </c>
      <c r="E166" t="str">
        <f>TEXT(Raw_Data!E166,"DD-MM-YYYY")</f>
        <v>27-02-2024</v>
      </c>
    </row>
    <row r="167" spans="1:5" x14ac:dyDescent="0.3">
      <c r="A167">
        <v>1165</v>
      </c>
      <c r="B167" t="str">
        <f>IF(TRIM(Raw_Data!B167)="","Unknown",PROPER(TRIM(Raw_Data!B167)))</f>
        <v>Monitor</v>
      </c>
      <c r="C167" t="str">
        <f>IF(TRIM(Raw_Data!C167)="","South",TRIM(Raw_Data!C167))</f>
        <v>West</v>
      </c>
      <c r="D167">
        <f>IF(TRIM(Raw_Data!D167)="",30435.80739,Raw_Data!D167)</f>
        <v>51398.38</v>
      </c>
      <c r="E167" t="str">
        <f>TEXT(Raw_Data!E167,"DD-MM-YYYY")</f>
        <v>27-09-2024</v>
      </c>
    </row>
    <row r="168" spans="1:5" x14ac:dyDescent="0.3">
      <c r="A168">
        <v>1166</v>
      </c>
      <c r="B168" t="str">
        <f>IF(TRIM(Raw_Data!B168)="","Unknown",PROPER(TRIM(Raw_Data!B168)))</f>
        <v>Laptop</v>
      </c>
      <c r="C168" t="str">
        <f>IF(TRIM(Raw_Data!C168)="","South",TRIM(Raw_Data!C168))</f>
        <v>West</v>
      </c>
      <c r="D168">
        <f>IF(TRIM(Raw_Data!D168)="",30435.80739,Raw_Data!D168)</f>
        <v>17122.310000000001</v>
      </c>
      <c r="E168" t="str">
        <f>TEXT(Raw_Data!E168,"DD-MM-YYYY")</f>
        <v>02-12-2024</v>
      </c>
    </row>
    <row r="169" spans="1:5" x14ac:dyDescent="0.3">
      <c r="A169">
        <v>1167</v>
      </c>
      <c r="B169" t="str">
        <f>IF(TRIM(Raw_Data!B169)="","Unknown",PROPER(TRIM(Raw_Data!B169)))</f>
        <v>Laptop</v>
      </c>
      <c r="C169" t="str">
        <f>IF(TRIM(Raw_Data!C169)="","South",TRIM(Raw_Data!C169))</f>
        <v>West</v>
      </c>
      <c r="D169">
        <f>IF(TRIM(Raw_Data!D169)="",30435.80739,Raw_Data!D169)</f>
        <v>45845.55</v>
      </c>
      <c r="E169" t="str">
        <f>TEXT(Raw_Data!E169,"DD-MM-YYYY")</f>
        <v>13-09-2024</v>
      </c>
    </row>
    <row r="170" spans="1:5" x14ac:dyDescent="0.3">
      <c r="A170">
        <v>1168</v>
      </c>
      <c r="B170" t="str">
        <f>IF(TRIM(Raw_Data!B170)="","Unknown",PROPER(TRIM(Raw_Data!B170)))</f>
        <v>Monitor</v>
      </c>
      <c r="C170" t="str">
        <f>IF(TRIM(Raw_Data!C170)="","South",TRIM(Raw_Data!C170))</f>
        <v>West</v>
      </c>
      <c r="D170">
        <f>IF(TRIM(Raw_Data!D170)="",30435.80739,Raw_Data!D170)</f>
        <v>34202.269999999997</v>
      </c>
      <c r="E170" t="str">
        <f>TEXT(Raw_Data!E170,"DD-MM-YYYY")</f>
        <v>26-07-2024</v>
      </c>
    </row>
    <row r="171" spans="1:5" x14ac:dyDescent="0.3">
      <c r="A171">
        <v>1169</v>
      </c>
      <c r="B171" t="str">
        <f>IF(TRIM(Raw_Data!B171)="","Unknown",PROPER(TRIM(Raw_Data!B171)))</f>
        <v>Laptop</v>
      </c>
      <c r="C171" t="str">
        <f>IF(TRIM(Raw_Data!C171)="","South",TRIM(Raw_Data!C171))</f>
        <v>West</v>
      </c>
      <c r="D171">
        <f>IF(TRIM(Raw_Data!D171)="",30435.80739,Raw_Data!D171)</f>
        <v>32290.91</v>
      </c>
      <c r="E171" t="str">
        <f>TEXT(Raw_Data!E171,"DD-MM-YYYY")</f>
        <v>17-07-2024</v>
      </c>
    </row>
    <row r="172" spans="1:5" x14ac:dyDescent="0.3">
      <c r="A172">
        <v>1170</v>
      </c>
      <c r="B172" t="str">
        <f>IF(TRIM(Raw_Data!B172)="","Unknown",PROPER(TRIM(Raw_Data!B172)))</f>
        <v>Laptop</v>
      </c>
      <c r="C172" t="str">
        <f>IF(TRIM(Raw_Data!C172)="","South",TRIM(Raw_Data!C172))</f>
        <v>East</v>
      </c>
      <c r="D172">
        <f>IF(TRIM(Raw_Data!D172)="",30435.80739,Raw_Data!D172)</f>
        <v>29409.82</v>
      </c>
      <c r="E172" t="str">
        <f>TEXT(Raw_Data!E172,"DD-MM-YYYY")</f>
        <v>24-07-2024</v>
      </c>
    </row>
    <row r="173" spans="1:5" x14ac:dyDescent="0.3">
      <c r="A173">
        <v>1171</v>
      </c>
      <c r="B173" t="str">
        <f>IF(TRIM(Raw_Data!B173)="","Unknown",PROPER(TRIM(Raw_Data!B173)))</f>
        <v>Monitor</v>
      </c>
      <c r="C173" t="str">
        <f>IF(TRIM(Raw_Data!C173)="","South",TRIM(Raw_Data!C173))</f>
        <v>West</v>
      </c>
      <c r="D173">
        <f>IF(TRIM(Raw_Data!D173)="",30435.80739,Raw_Data!D173)</f>
        <v>39439.65</v>
      </c>
      <c r="E173" t="str">
        <f>TEXT(Raw_Data!E173,"DD-MM-YYYY")</f>
        <v>26-04-2024</v>
      </c>
    </row>
    <row r="174" spans="1:5" x14ac:dyDescent="0.3">
      <c r="A174">
        <v>1172</v>
      </c>
      <c r="B174" t="str">
        <f>IF(TRIM(Raw_Data!B174)="","Unknown",PROPER(TRIM(Raw_Data!B174)))</f>
        <v>Laptop</v>
      </c>
      <c r="C174" t="str">
        <f>IF(TRIM(Raw_Data!C174)="","South",TRIM(Raw_Data!C174))</f>
        <v>North</v>
      </c>
      <c r="D174">
        <f>IF(TRIM(Raw_Data!D174)="",30435.80739,Raw_Data!D174)</f>
        <v>24337.16</v>
      </c>
      <c r="E174" t="str">
        <f>TEXT(Raw_Data!E174,"DD-MM-YYYY")</f>
        <v>04-04-2024</v>
      </c>
    </row>
    <row r="175" spans="1:5" x14ac:dyDescent="0.3">
      <c r="A175">
        <v>1173</v>
      </c>
      <c r="B175" t="str">
        <f>IF(TRIM(Raw_Data!B175)="","Unknown",PROPER(TRIM(Raw_Data!B175)))</f>
        <v>Mouse</v>
      </c>
      <c r="C175" t="str">
        <f>IF(TRIM(Raw_Data!C175)="","South",TRIM(Raw_Data!C175))</f>
        <v>West</v>
      </c>
      <c r="D175">
        <f>IF(TRIM(Raw_Data!D175)="",30435.80739,Raw_Data!D175)</f>
        <v>45200.54</v>
      </c>
      <c r="E175" t="str">
        <f>TEXT(Raw_Data!E175,"DD-MM-YYYY")</f>
        <v>10-02-2024</v>
      </c>
    </row>
    <row r="176" spans="1:5" x14ac:dyDescent="0.3">
      <c r="A176">
        <v>1174</v>
      </c>
      <c r="B176" t="str">
        <f>IF(TRIM(Raw_Data!B176)="","Unknown",PROPER(TRIM(Raw_Data!B176)))</f>
        <v>Monitor</v>
      </c>
      <c r="C176" t="str">
        <f>IF(TRIM(Raw_Data!C176)="","South",TRIM(Raw_Data!C176))</f>
        <v>North</v>
      </c>
      <c r="D176">
        <f>IF(TRIM(Raw_Data!D176)="",30435.80739,Raw_Data!D176)</f>
        <v>42445.43</v>
      </c>
      <c r="E176" t="str">
        <f>TEXT(Raw_Data!E176,"DD-MM-YYYY")</f>
        <v>20-07-2024</v>
      </c>
    </row>
    <row r="177" spans="1:5" x14ac:dyDescent="0.3">
      <c r="A177">
        <v>1175</v>
      </c>
      <c r="B177" t="str">
        <f>IF(TRIM(Raw_Data!B177)="","Unknown",PROPER(TRIM(Raw_Data!B177)))</f>
        <v>Monitor</v>
      </c>
      <c r="C177" t="str">
        <f>IF(TRIM(Raw_Data!C177)="","South",TRIM(Raw_Data!C177))</f>
        <v>North</v>
      </c>
      <c r="D177">
        <f>IF(TRIM(Raw_Data!D177)="",30435.80739,Raw_Data!D177)</f>
        <v>49646.33</v>
      </c>
      <c r="E177" t="str">
        <f>TEXT(Raw_Data!E177,"DD-MM-YYYY")</f>
        <v>02-06-2024</v>
      </c>
    </row>
    <row r="178" spans="1:5" x14ac:dyDescent="0.3">
      <c r="A178">
        <v>1176</v>
      </c>
      <c r="B178" t="str">
        <f>IF(TRIM(Raw_Data!B178)="","Unknown",PROPER(TRIM(Raw_Data!B178)))</f>
        <v>Laptop</v>
      </c>
      <c r="C178" t="str">
        <f>IF(TRIM(Raw_Data!C178)="","South",TRIM(Raw_Data!C178))</f>
        <v>West</v>
      </c>
      <c r="D178">
        <f>IF(TRIM(Raw_Data!D178)="",30435.80739,Raw_Data!D178)</f>
        <v>10881.47</v>
      </c>
      <c r="E178" t="str">
        <f>TEXT(Raw_Data!E178,"DD-MM-YYYY")</f>
        <v>31-10-2024</v>
      </c>
    </row>
    <row r="179" spans="1:5" x14ac:dyDescent="0.3">
      <c r="A179">
        <v>1177</v>
      </c>
      <c r="B179" t="str">
        <f>IF(TRIM(Raw_Data!B179)="","Unknown",PROPER(TRIM(Raw_Data!B179)))</f>
        <v>Keyboard</v>
      </c>
      <c r="C179" t="str">
        <f>IF(TRIM(Raw_Data!C179)="","South",TRIM(Raw_Data!C179))</f>
        <v>West</v>
      </c>
      <c r="D179">
        <f>IF(TRIM(Raw_Data!D179)="",30435.80739,Raw_Data!D179)</f>
        <v>18631.32</v>
      </c>
      <c r="E179" t="str">
        <f>TEXT(Raw_Data!E179,"DD-MM-YYYY")</f>
        <v>22-07-2024</v>
      </c>
    </row>
    <row r="180" spans="1:5" x14ac:dyDescent="0.3">
      <c r="A180">
        <v>1178</v>
      </c>
      <c r="B180" t="str">
        <f>IF(TRIM(Raw_Data!B180)="","Unknown",PROPER(TRIM(Raw_Data!B180)))</f>
        <v>Keyboard</v>
      </c>
      <c r="C180" t="str">
        <f>IF(TRIM(Raw_Data!C180)="","South",TRIM(Raw_Data!C180))</f>
        <v>North</v>
      </c>
      <c r="D180">
        <f>IF(TRIM(Raw_Data!D180)="",30435.80739,Raw_Data!D180)</f>
        <v>53794.18</v>
      </c>
      <c r="E180" t="str">
        <f>TEXT(Raw_Data!E180,"DD-MM-YYYY")</f>
        <v>09-11-2024</v>
      </c>
    </row>
    <row r="181" spans="1:5" x14ac:dyDescent="0.3">
      <c r="A181">
        <v>1179</v>
      </c>
      <c r="B181" t="str">
        <f>IF(TRIM(Raw_Data!B181)="","Unknown",PROPER(TRIM(Raw_Data!B181)))</f>
        <v>Mouse</v>
      </c>
      <c r="C181" t="str">
        <f>IF(TRIM(Raw_Data!C181)="","South",TRIM(Raw_Data!C181))</f>
        <v>East</v>
      </c>
      <c r="D181">
        <f>IF(TRIM(Raw_Data!D181)="",30435.80739,Raw_Data!D181)</f>
        <v>36003.440000000002</v>
      </c>
      <c r="E181" t="str">
        <f>TEXT(Raw_Data!E181,"DD-MM-YYYY")</f>
        <v>12-01-2024</v>
      </c>
    </row>
    <row r="182" spans="1:5" x14ac:dyDescent="0.3">
      <c r="A182">
        <v>1180</v>
      </c>
      <c r="B182" t="str">
        <f>IF(TRIM(Raw_Data!B182)="","Unknown",PROPER(TRIM(Raw_Data!B182)))</f>
        <v>Laptop</v>
      </c>
      <c r="C182" t="str">
        <f>IF(TRIM(Raw_Data!C182)="","South",TRIM(Raw_Data!C182))</f>
        <v>South</v>
      </c>
      <c r="D182">
        <f>IF(TRIM(Raw_Data!D182)="",30435.80739,Raw_Data!D182)</f>
        <v>11744.96</v>
      </c>
      <c r="E182" t="str">
        <f>TEXT(Raw_Data!E182,"DD-MM-YYYY")</f>
        <v>28-04-2024</v>
      </c>
    </row>
    <row r="183" spans="1:5" x14ac:dyDescent="0.3">
      <c r="A183">
        <v>1181</v>
      </c>
      <c r="B183" t="str">
        <f>IF(TRIM(Raw_Data!B183)="","Unknown",PROPER(TRIM(Raw_Data!B183)))</f>
        <v>Unknown</v>
      </c>
      <c r="C183" t="str">
        <f>IF(TRIM(Raw_Data!C183)="","South",TRIM(Raw_Data!C183))</f>
        <v>West</v>
      </c>
      <c r="D183">
        <f>IF(TRIM(Raw_Data!D183)="",30435.80739,Raw_Data!D183)</f>
        <v>33006.239999999998</v>
      </c>
      <c r="E183" t="str">
        <f>TEXT(Raw_Data!E183,"DD-MM-YYYY")</f>
        <v>28-02-2024</v>
      </c>
    </row>
    <row r="184" spans="1:5" x14ac:dyDescent="0.3">
      <c r="A184">
        <v>1182</v>
      </c>
      <c r="B184" t="str">
        <f>IF(TRIM(Raw_Data!B184)="","Unknown",PROPER(TRIM(Raw_Data!B184)))</f>
        <v>Mouse</v>
      </c>
      <c r="C184" t="str">
        <f>IF(TRIM(Raw_Data!C184)="","South",TRIM(Raw_Data!C184))</f>
        <v>South</v>
      </c>
      <c r="D184">
        <f>IF(TRIM(Raw_Data!D184)="",30435.80739,Raw_Data!D184)</f>
        <v>28294.75</v>
      </c>
      <c r="E184" t="str">
        <f>TEXT(Raw_Data!E184,"DD-MM-YYYY")</f>
        <v>15-12-2024</v>
      </c>
    </row>
    <row r="185" spans="1:5" x14ac:dyDescent="0.3">
      <c r="A185">
        <v>1183</v>
      </c>
      <c r="B185" t="str">
        <f>IF(TRIM(Raw_Data!B185)="","Unknown",PROPER(TRIM(Raw_Data!B185)))</f>
        <v>Laptop</v>
      </c>
      <c r="C185" t="str">
        <f>IF(TRIM(Raw_Data!C185)="","South",TRIM(Raw_Data!C185))</f>
        <v>South</v>
      </c>
      <c r="D185">
        <f>IF(TRIM(Raw_Data!D185)="",30435.80739,Raw_Data!D185)</f>
        <v>30785.85</v>
      </c>
      <c r="E185" t="str">
        <f>TEXT(Raw_Data!E185,"DD-MM-YYYY")</f>
        <v>19-02-2024</v>
      </c>
    </row>
    <row r="186" spans="1:5" x14ac:dyDescent="0.3">
      <c r="A186">
        <v>1184</v>
      </c>
      <c r="B186" t="str">
        <f>IF(TRIM(Raw_Data!B186)="","Unknown",PROPER(TRIM(Raw_Data!B186)))</f>
        <v>Tablet</v>
      </c>
      <c r="C186" t="str">
        <f>IF(TRIM(Raw_Data!C186)="","South",TRIM(Raw_Data!C186))</f>
        <v>North</v>
      </c>
      <c r="D186">
        <f>IF(TRIM(Raw_Data!D186)="",30435.80739,Raw_Data!D186)</f>
        <v>54141.41</v>
      </c>
      <c r="E186" t="str">
        <f>TEXT(Raw_Data!E186,"DD-MM-YYYY")</f>
        <v>18-09-2024</v>
      </c>
    </row>
    <row r="187" spans="1:5" x14ac:dyDescent="0.3">
      <c r="A187">
        <v>1185</v>
      </c>
      <c r="B187" t="str">
        <f>IF(TRIM(Raw_Data!B187)="","Unknown",PROPER(TRIM(Raw_Data!B187)))</f>
        <v>Monitor</v>
      </c>
      <c r="C187" t="str">
        <f>IF(TRIM(Raw_Data!C187)="","South",TRIM(Raw_Data!C187))</f>
        <v>West</v>
      </c>
      <c r="D187">
        <f>IF(TRIM(Raw_Data!D187)="",30435.80739,Raw_Data!D187)</f>
        <v>50323.89</v>
      </c>
      <c r="E187" t="str">
        <f>TEXT(Raw_Data!E187,"DD-MM-YYYY")</f>
        <v>12-08-2024</v>
      </c>
    </row>
    <row r="188" spans="1:5" x14ac:dyDescent="0.3">
      <c r="A188">
        <v>1186</v>
      </c>
      <c r="B188" t="str">
        <f>IF(TRIM(Raw_Data!B188)="","Unknown",PROPER(TRIM(Raw_Data!B188)))</f>
        <v>Keyboard</v>
      </c>
      <c r="C188" t="str">
        <f>IF(TRIM(Raw_Data!C188)="","South",TRIM(Raw_Data!C188))</f>
        <v>East</v>
      </c>
      <c r="D188">
        <f>IF(TRIM(Raw_Data!D188)="",30435.80739,Raw_Data!D188)</f>
        <v>58312.31</v>
      </c>
      <c r="E188" t="str">
        <f>TEXT(Raw_Data!E188,"DD-MM-YYYY")</f>
        <v>19-10-2024</v>
      </c>
    </row>
    <row r="189" spans="1:5" x14ac:dyDescent="0.3">
      <c r="A189">
        <v>1187</v>
      </c>
      <c r="B189" t="str">
        <f>IF(TRIM(Raw_Data!B189)="","Unknown",PROPER(TRIM(Raw_Data!B189)))</f>
        <v>Keyboard</v>
      </c>
      <c r="C189" t="str">
        <f>IF(TRIM(Raw_Data!C189)="","South",TRIM(Raw_Data!C189))</f>
        <v>West</v>
      </c>
      <c r="D189">
        <f>IF(TRIM(Raw_Data!D189)="",30435.80739,Raw_Data!D189)</f>
        <v>22194.77</v>
      </c>
      <c r="E189" t="str">
        <f>TEXT(Raw_Data!E189,"DD-MM-YYYY")</f>
        <v>09-05-2024</v>
      </c>
    </row>
    <row r="190" spans="1:5" x14ac:dyDescent="0.3">
      <c r="A190">
        <v>1188</v>
      </c>
      <c r="B190" t="str">
        <f>IF(TRIM(Raw_Data!B190)="","Unknown",PROPER(TRIM(Raw_Data!B190)))</f>
        <v>Laptop</v>
      </c>
      <c r="C190" t="str">
        <f>IF(TRIM(Raw_Data!C190)="","South",TRIM(Raw_Data!C190))</f>
        <v>South</v>
      </c>
      <c r="D190">
        <f>IF(TRIM(Raw_Data!D190)="",30435.80739,Raw_Data!D190)</f>
        <v>1532.79</v>
      </c>
      <c r="E190" t="str">
        <f>TEXT(Raw_Data!E190,"DD-MM-YYYY")</f>
        <v>12-06-2024</v>
      </c>
    </row>
    <row r="191" spans="1:5" x14ac:dyDescent="0.3">
      <c r="A191">
        <v>1189</v>
      </c>
      <c r="B191" t="str">
        <f>IF(TRIM(Raw_Data!B191)="","Unknown",PROPER(TRIM(Raw_Data!B191)))</f>
        <v>Tablet</v>
      </c>
      <c r="C191" t="str">
        <f>IF(TRIM(Raw_Data!C191)="","South",TRIM(Raw_Data!C191))</f>
        <v>East</v>
      </c>
      <c r="D191">
        <f>IF(TRIM(Raw_Data!D191)="",30435.80739,Raw_Data!D191)</f>
        <v>20883.189999999999</v>
      </c>
      <c r="E191" t="str">
        <f>TEXT(Raw_Data!E191,"DD-MM-YYYY")</f>
        <v>15-12-2024</v>
      </c>
    </row>
    <row r="192" spans="1:5" x14ac:dyDescent="0.3">
      <c r="A192">
        <v>1190</v>
      </c>
      <c r="B192" t="str">
        <f>IF(TRIM(Raw_Data!B192)="","Unknown",PROPER(TRIM(Raw_Data!B192)))</f>
        <v>Monitor</v>
      </c>
      <c r="C192" t="str">
        <f>IF(TRIM(Raw_Data!C192)="","South",TRIM(Raw_Data!C192))</f>
        <v>North</v>
      </c>
      <c r="D192">
        <f>IF(TRIM(Raw_Data!D192)="",30435.80739,Raw_Data!D192)</f>
        <v>22195.79</v>
      </c>
      <c r="E192" t="str">
        <f>TEXT(Raw_Data!E192,"DD-MM-YYYY")</f>
        <v>10-10-2024</v>
      </c>
    </row>
    <row r="193" spans="1:5" x14ac:dyDescent="0.3">
      <c r="A193">
        <v>1191</v>
      </c>
      <c r="B193" t="str">
        <f>IF(TRIM(Raw_Data!B193)="","Unknown",PROPER(TRIM(Raw_Data!B193)))</f>
        <v>Keyboard</v>
      </c>
      <c r="C193" t="str">
        <f>IF(TRIM(Raw_Data!C193)="","South",TRIM(Raw_Data!C193))</f>
        <v>East</v>
      </c>
      <c r="D193">
        <f>IF(TRIM(Raw_Data!D193)="",30435.80739,Raw_Data!D193)</f>
        <v>48534.54</v>
      </c>
      <c r="E193" t="str">
        <f>TEXT(Raw_Data!E193,"DD-MM-YYYY")</f>
        <v>04-06-2024</v>
      </c>
    </row>
    <row r="194" spans="1:5" x14ac:dyDescent="0.3">
      <c r="A194">
        <v>1192</v>
      </c>
      <c r="B194" t="str">
        <f>IF(TRIM(Raw_Data!B194)="","Unknown",PROPER(TRIM(Raw_Data!B194)))</f>
        <v>Unknown</v>
      </c>
      <c r="C194" t="str">
        <f>IF(TRIM(Raw_Data!C194)="","South",TRIM(Raw_Data!C194))</f>
        <v>North</v>
      </c>
      <c r="D194">
        <f>IF(TRIM(Raw_Data!D194)="",30435.80739,Raw_Data!D194)</f>
        <v>14636.72</v>
      </c>
      <c r="E194" t="str">
        <f>TEXT(Raw_Data!E194,"DD-MM-YYYY")</f>
        <v>08-10-2024</v>
      </c>
    </row>
    <row r="195" spans="1:5" x14ac:dyDescent="0.3">
      <c r="A195">
        <v>1193</v>
      </c>
      <c r="B195" t="str">
        <f>IF(TRIM(Raw_Data!B195)="","Unknown",PROPER(TRIM(Raw_Data!B195)))</f>
        <v>Tablet</v>
      </c>
      <c r="C195" t="str">
        <f>IF(TRIM(Raw_Data!C195)="","South",TRIM(Raw_Data!C195))</f>
        <v>East</v>
      </c>
      <c r="D195">
        <f>IF(TRIM(Raw_Data!D195)="",30435.80739,Raw_Data!D195)</f>
        <v>30926.85</v>
      </c>
      <c r="E195" t="str">
        <f>TEXT(Raw_Data!E195,"DD-MM-YYYY")</f>
        <v>24-07-2024</v>
      </c>
    </row>
    <row r="196" spans="1:5" x14ac:dyDescent="0.3">
      <c r="A196">
        <v>1194</v>
      </c>
      <c r="B196" t="str">
        <f>IF(TRIM(Raw_Data!B196)="","Unknown",PROPER(TRIM(Raw_Data!B196)))</f>
        <v>Keyboard</v>
      </c>
      <c r="C196" t="str">
        <f>IF(TRIM(Raw_Data!C196)="","South",TRIM(Raw_Data!C196))</f>
        <v>South</v>
      </c>
      <c r="D196">
        <f>IF(TRIM(Raw_Data!D196)="",30435.80739,Raw_Data!D196)</f>
        <v>58412.77</v>
      </c>
      <c r="E196" t="str">
        <f>TEXT(Raw_Data!E196,"DD-MM-YYYY")</f>
        <v>08-02-2024</v>
      </c>
    </row>
    <row r="197" spans="1:5" x14ac:dyDescent="0.3">
      <c r="A197">
        <v>1195</v>
      </c>
      <c r="B197" t="str">
        <f>IF(TRIM(Raw_Data!B197)="","Unknown",PROPER(TRIM(Raw_Data!B197)))</f>
        <v>Mouse</v>
      </c>
      <c r="C197" t="str">
        <f>IF(TRIM(Raw_Data!C197)="","South",TRIM(Raw_Data!C197))</f>
        <v>West</v>
      </c>
      <c r="D197">
        <f>IF(TRIM(Raw_Data!D197)="",30435.80739,Raw_Data!D197)</f>
        <v>30435.807390000002</v>
      </c>
      <c r="E197" t="str">
        <f>TEXT(Raw_Data!E197,"DD-MM-YYYY")</f>
        <v>27-10-2024</v>
      </c>
    </row>
    <row r="198" spans="1:5" x14ac:dyDescent="0.3">
      <c r="A198">
        <v>1196</v>
      </c>
      <c r="B198" t="str">
        <f>IF(TRIM(Raw_Data!B198)="","Unknown",PROPER(TRIM(Raw_Data!B198)))</f>
        <v>Mouse</v>
      </c>
      <c r="C198" t="str">
        <f>IF(TRIM(Raw_Data!C198)="","South",TRIM(Raw_Data!C198))</f>
        <v>West</v>
      </c>
      <c r="D198">
        <f>IF(TRIM(Raw_Data!D198)="",30435.80739,Raw_Data!D198)</f>
        <v>44118.94</v>
      </c>
      <c r="E198" t="str">
        <f>TEXT(Raw_Data!E198,"DD-MM-YYYY")</f>
        <v>05-06-2024</v>
      </c>
    </row>
    <row r="199" spans="1:5" x14ac:dyDescent="0.3">
      <c r="A199">
        <v>1197</v>
      </c>
      <c r="B199" t="str">
        <f>IF(TRIM(Raw_Data!B199)="","Unknown",PROPER(TRIM(Raw_Data!B199)))</f>
        <v>Laptop</v>
      </c>
      <c r="C199" t="str">
        <f>IF(TRIM(Raw_Data!C199)="","South",TRIM(Raw_Data!C199))</f>
        <v>West</v>
      </c>
      <c r="D199">
        <f>IF(TRIM(Raw_Data!D199)="",30435.80739,Raw_Data!D199)</f>
        <v>41311.629999999997</v>
      </c>
      <c r="E199" t="str">
        <f>TEXT(Raw_Data!E199,"DD-MM-YYYY")</f>
        <v>23-04-2024</v>
      </c>
    </row>
    <row r="200" spans="1:5" x14ac:dyDescent="0.3">
      <c r="A200">
        <v>1198</v>
      </c>
      <c r="B200" t="str">
        <f>IF(TRIM(Raw_Data!B200)="","Unknown",PROPER(TRIM(Raw_Data!B200)))</f>
        <v>Monitor</v>
      </c>
      <c r="C200" t="str">
        <f>IF(TRIM(Raw_Data!C200)="","South",TRIM(Raw_Data!C200))</f>
        <v>North</v>
      </c>
      <c r="D200">
        <f>IF(TRIM(Raw_Data!D200)="",30435.80739,Raw_Data!D200)</f>
        <v>47935.11</v>
      </c>
      <c r="E200" t="str">
        <f>TEXT(Raw_Data!E200,"DD-MM-YYYY")</f>
        <v>15-10-2024</v>
      </c>
    </row>
    <row r="201" spans="1:5" x14ac:dyDescent="0.3">
      <c r="A201">
        <v>1199</v>
      </c>
      <c r="B201" t="str">
        <f>IF(TRIM(Raw_Data!B201)="","Unknown",PROPER(TRIM(Raw_Data!B201)))</f>
        <v>Mouse</v>
      </c>
      <c r="C201" t="str">
        <f>IF(TRIM(Raw_Data!C201)="","South",TRIM(Raw_Data!C201))</f>
        <v>North</v>
      </c>
      <c r="D201">
        <f>IF(TRIM(Raw_Data!D201)="",30435.80739,Raw_Data!D201)</f>
        <v>10397.959999999999</v>
      </c>
      <c r="E201" t="str">
        <f>TEXT(Raw_Data!E201,"DD-MM-YYYY")</f>
        <v>10-07-2024</v>
      </c>
    </row>
    <row r="202" spans="1:5" x14ac:dyDescent="0.3">
      <c r="A202">
        <v>1200</v>
      </c>
      <c r="B202" t="str">
        <f>IF(TRIM(Raw_Data!B202)="","Unknown",PROPER(TRIM(Raw_Data!B202)))</f>
        <v>Tablet</v>
      </c>
      <c r="C202" t="str">
        <f>IF(TRIM(Raw_Data!C202)="","South",TRIM(Raw_Data!C202))</f>
        <v>West</v>
      </c>
      <c r="D202">
        <f>IF(TRIM(Raw_Data!D202)="",30435.80739,Raw_Data!D202)</f>
        <v>34453.96</v>
      </c>
      <c r="E202" t="str">
        <f>TEXT(Raw_Data!E202,"DD-MM-YYYY")</f>
        <v>19-11-2024</v>
      </c>
    </row>
    <row r="203" spans="1:5" x14ac:dyDescent="0.3">
      <c r="A203">
        <v>1201</v>
      </c>
      <c r="B203" t="str">
        <f>IF(TRIM(Raw_Data!B203)="","Unknown",PROPER(TRIM(Raw_Data!B203)))</f>
        <v>Keyboard</v>
      </c>
      <c r="C203" t="str">
        <f>IF(TRIM(Raw_Data!C203)="","South",TRIM(Raw_Data!C203))</f>
        <v>West</v>
      </c>
      <c r="D203">
        <f>IF(TRIM(Raw_Data!D203)="",30435.80739,Raw_Data!D203)</f>
        <v>19714.55</v>
      </c>
      <c r="E203" t="str">
        <f>TEXT(Raw_Data!E203,"DD-MM-YYYY")</f>
        <v>30-12-2024</v>
      </c>
    </row>
    <row r="204" spans="1:5" x14ac:dyDescent="0.3">
      <c r="A204">
        <v>1202</v>
      </c>
      <c r="B204" t="str">
        <f>IF(TRIM(Raw_Data!B204)="","Unknown",PROPER(TRIM(Raw_Data!B204)))</f>
        <v>Unknown</v>
      </c>
      <c r="C204" t="str">
        <f>IF(TRIM(Raw_Data!C204)="","South",TRIM(Raw_Data!C204))</f>
        <v>South</v>
      </c>
      <c r="D204">
        <f>IF(TRIM(Raw_Data!D204)="",30435.80739,Raw_Data!D204)</f>
        <v>24374.19</v>
      </c>
      <c r="E204" t="str">
        <f>TEXT(Raw_Data!E204,"DD-MM-YYYY")</f>
        <v>11-11-2024</v>
      </c>
    </row>
    <row r="205" spans="1:5" x14ac:dyDescent="0.3">
      <c r="A205">
        <v>1203</v>
      </c>
      <c r="B205" t="str">
        <f>IF(TRIM(Raw_Data!B205)="","Unknown",PROPER(TRIM(Raw_Data!B205)))</f>
        <v>Monitor</v>
      </c>
      <c r="C205" t="str">
        <f>IF(TRIM(Raw_Data!C205)="","South",TRIM(Raw_Data!C205))</f>
        <v>South</v>
      </c>
      <c r="D205">
        <f>IF(TRIM(Raw_Data!D205)="",30435.80739,Raw_Data!D205)</f>
        <v>10938.22</v>
      </c>
      <c r="E205" t="str">
        <f>TEXT(Raw_Data!E205,"DD-MM-YYYY")</f>
        <v>25-11-2024</v>
      </c>
    </row>
    <row r="206" spans="1:5" x14ac:dyDescent="0.3">
      <c r="A206">
        <v>1204</v>
      </c>
      <c r="B206" t="str">
        <f>IF(TRIM(Raw_Data!B206)="","Unknown",PROPER(TRIM(Raw_Data!B206)))</f>
        <v>Keyboard</v>
      </c>
      <c r="C206" t="str">
        <f>IF(TRIM(Raw_Data!C206)="","South",TRIM(Raw_Data!C206))</f>
        <v>South</v>
      </c>
      <c r="D206">
        <f>IF(TRIM(Raw_Data!D206)="",30435.80739,Raw_Data!D206)</f>
        <v>49012.21</v>
      </c>
      <c r="E206" t="str">
        <f>TEXT(Raw_Data!E206,"DD-MM-YYYY")</f>
        <v>01-06-2024</v>
      </c>
    </row>
    <row r="207" spans="1:5" x14ac:dyDescent="0.3">
      <c r="A207">
        <v>1205</v>
      </c>
      <c r="B207" t="str">
        <f>IF(TRIM(Raw_Data!B207)="","Unknown",PROPER(TRIM(Raw_Data!B207)))</f>
        <v>Monitor</v>
      </c>
      <c r="C207" t="str">
        <f>IF(TRIM(Raw_Data!C207)="","South",TRIM(Raw_Data!C207))</f>
        <v>North</v>
      </c>
      <c r="D207">
        <f>IF(TRIM(Raw_Data!D207)="",30435.80739,Raw_Data!D207)</f>
        <v>48966.16</v>
      </c>
      <c r="E207" t="str">
        <f>TEXT(Raw_Data!E207,"DD-MM-YYYY")</f>
        <v>29-12-2024</v>
      </c>
    </row>
    <row r="208" spans="1:5" x14ac:dyDescent="0.3">
      <c r="A208">
        <v>1206</v>
      </c>
      <c r="B208" t="str">
        <f>IF(TRIM(Raw_Data!B208)="","Unknown",PROPER(TRIM(Raw_Data!B208)))</f>
        <v>Unknown</v>
      </c>
      <c r="C208" t="str">
        <f>IF(TRIM(Raw_Data!C208)="","South",TRIM(Raw_Data!C208))</f>
        <v>East</v>
      </c>
      <c r="D208">
        <f>IF(TRIM(Raw_Data!D208)="",30435.80739,Raw_Data!D208)</f>
        <v>15365.46</v>
      </c>
      <c r="E208" t="str">
        <f>TEXT(Raw_Data!E208,"DD-MM-YYYY")</f>
        <v>21-07-2024</v>
      </c>
    </row>
    <row r="209" spans="1:5" x14ac:dyDescent="0.3">
      <c r="A209">
        <v>1207</v>
      </c>
      <c r="B209" t="str">
        <f>IF(TRIM(Raw_Data!B209)="","Unknown",PROPER(TRIM(Raw_Data!B209)))</f>
        <v>Mouse</v>
      </c>
      <c r="C209" t="str">
        <f>IF(TRIM(Raw_Data!C209)="","South",TRIM(Raw_Data!C209))</f>
        <v>South</v>
      </c>
      <c r="D209">
        <f>IF(TRIM(Raw_Data!D209)="",30435.80739,Raw_Data!D209)</f>
        <v>31862</v>
      </c>
      <c r="E209" t="str">
        <f>TEXT(Raw_Data!E209,"DD-MM-YYYY")</f>
        <v>27-01-2024</v>
      </c>
    </row>
    <row r="210" spans="1:5" x14ac:dyDescent="0.3">
      <c r="A210">
        <v>1208</v>
      </c>
      <c r="B210" t="str">
        <f>IF(TRIM(Raw_Data!B210)="","Unknown",PROPER(TRIM(Raw_Data!B210)))</f>
        <v>Tablet</v>
      </c>
      <c r="C210" t="str">
        <f>IF(TRIM(Raw_Data!C210)="","South",TRIM(Raw_Data!C210))</f>
        <v>West</v>
      </c>
      <c r="D210">
        <f>IF(TRIM(Raw_Data!D210)="",30435.80739,Raw_Data!D210)</f>
        <v>58626.79</v>
      </c>
      <c r="E210" t="str">
        <f>TEXT(Raw_Data!E210,"DD-MM-YYYY")</f>
        <v>30-03-2024</v>
      </c>
    </row>
    <row r="211" spans="1:5" x14ac:dyDescent="0.3">
      <c r="A211">
        <v>1209</v>
      </c>
      <c r="B211" t="str">
        <f>IF(TRIM(Raw_Data!B211)="","Unknown",PROPER(TRIM(Raw_Data!B211)))</f>
        <v>Tablet</v>
      </c>
      <c r="C211" t="str">
        <f>IF(TRIM(Raw_Data!C211)="","South",TRIM(Raw_Data!C211))</f>
        <v>West</v>
      </c>
      <c r="D211">
        <f>IF(TRIM(Raw_Data!D211)="",30435.80739,Raw_Data!D211)</f>
        <v>42833.73</v>
      </c>
      <c r="E211" t="str">
        <f>TEXT(Raw_Data!E211,"DD-MM-YYYY")</f>
        <v>07-11-2024</v>
      </c>
    </row>
    <row r="212" spans="1:5" x14ac:dyDescent="0.3">
      <c r="A212">
        <v>1210</v>
      </c>
      <c r="B212" t="str">
        <f>IF(TRIM(Raw_Data!B212)="","Unknown",PROPER(TRIM(Raw_Data!B212)))</f>
        <v>Mouse</v>
      </c>
      <c r="C212" t="str">
        <f>IF(TRIM(Raw_Data!C212)="","South",TRIM(Raw_Data!C212))</f>
        <v>North</v>
      </c>
      <c r="D212">
        <f>IF(TRIM(Raw_Data!D212)="",30435.80739,Raw_Data!D212)</f>
        <v>23037.07</v>
      </c>
      <c r="E212" t="str">
        <f>TEXT(Raw_Data!E212,"DD-MM-YYYY")</f>
        <v>21-06-2024</v>
      </c>
    </row>
    <row r="213" spans="1:5" x14ac:dyDescent="0.3">
      <c r="A213">
        <v>1211</v>
      </c>
      <c r="B213" t="str">
        <f>IF(TRIM(Raw_Data!B213)="","Unknown",PROPER(TRIM(Raw_Data!B213)))</f>
        <v>Tablet</v>
      </c>
      <c r="C213" t="str">
        <f>IF(TRIM(Raw_Data!C213)="","South",TRIM(Raw_Data!C213))</f>
        <v>East</v>
      </c>
      <c r="D213">
        <f>IF(TRIM(Raw_Data!D213)="",30435.80739,Raw_Data!D213)</f>
        <v>13510.65</v>
      </c>
      <c r="E213" t="str">
        <f>TEXT(Raw_Data!E213,"DD-MM-YYYY")</f>
        <v>10-01-2024</v>
      </c>
    </row>
    <row r="214" spans="1:5" x14ac:dyDescent="0.3">
      <c r="A214">
        <v>1212</v>
      </c>
      <c r="B214" t="str">
        <f>IF(TRIM(Raw_Data!B214)="","Unknown",PROPER(TRIM(Raw_Data!B214)))</f>
        <v>Laptop</v>
      </c>
      <c r="C214" t="str">
        <f>IF(TRIM(Raw_Data!C214)="","South",TRIM(Raw_Data!C214))</f>
        <v>West</v>
      </c>
      <c r="D214">
        <f>IF(TRIM(Raw_Data!D214)="",30435.80739,Raw_Data!D214)</f>
        <v>16083.05</v>
      </c>
      <c r="E214" t="str">
        <f>TEXT(Raw_Data!E214,"DD-MM-YYYY")</f>
        <v>08-03-2024</v>
      </c>
    </row>
    <row r="215" spans="1:5" x14ac:dyDescent="0.3">
      <c r="A215">
        <v>1213</v>
      </c>
      <c r="B215" t="str">
        <f>IF(TRIM(Raw_Data!B215)="","Unknown",PROPER(TRIM(Raw_Data!B215)))</f>
        <v>Keyboard</v>
      </c>
      <c r="C215" t="str">
        <f>IF(TRIM(Raw_Data!C215)="","South",TRIM(Raw_Data!C215))</f>
        <v>West</v>
      </c>
      <c r="D215">
        <f>IF(TRIM(Raw_Data!D215)="",30435.80739,Raw_Data!D215)</f>
        <v>37807.699999999997</v>
      </c>
      <c r="E215" t="str">
        <f>TEXT(Raw_Data!E215,"DD-MM-YYYY")</f>
        <v>29-08-2024</v>
      </c>
    </row>
    <row r="216" spans="1:5" x14ac:dyDescent="0.3">
      <c r="A216">
        <v>1214</v>
      </c>
      <c r="B216" t="str">
        <f>IF(TRIM(Raw_Data!B216)="","Unknown",PROPER(TRIM(Raw_Data!B216)))</f>
        <v>Mouse</v>
      </c>
      <c r="C216" t="str">
        <f>IF(TRIM(Raw_Data!C216)="","South",TRIM(Raw_Data!C216))</f>
        <v>North</v>
      </c>
      <c r="D216">
        <f>IF(TRIM(Raw_Data!D216)="",30435.80739,Raw_Data!D216)</f>
        <v>11528.31</v>
      </c>
      <c r="E216" t="str">
        <f>TEXT(Raw_Data!E216,"DD-MM-YYYY")</f>
        <v>19-10-2024</v>
      </c>
    </row>
    <row r="217" spans="1:5" x14ac:dyDescent="0.3">
      <c r="A217">
        <v>1215</v>
      </c>
      <c r="B217" t="str">
        <f>IF(TRIM(Raw_Data!B217)="","Unknown",PROPER(TRIM(Raw_Data!B217)))</f>
        <v>Laptop</v>
      </c>
      <c r="C217" t="str">
        <f>IF(TRIM(Raw_Data!C217)="","South",TRIM(Raw_Data!C217))</f>
        <v>North</v>
      </c>
      <c r="D217">
        <f>IF(TRIM(Raw_Data!D217)="",30435.80739,Raw_Data!D217)</f>
        <v>30309.24</v>
      </c>
      <c r="E217" t="str">
        <f>TEXT(Raw_Data!E217,"DD-MM-YYYY")</f>
        <v>14-09-2024</v>
      </c>
    </row>
    <row r="218" spans="1:5" x14ac:dyDescent="0.3">
      <c r="A218">
        <v>1216</v>
      </c>
      <c r="B218" t="str">
        <f>IF(TRIM(Raw_Data!B218)="","Unknown",PROPER(TRIM(Raw_Data!B218)))</f>
        <v>Monitor</v>
      </c>
      <c r="C218" t="str">
        <f>IF(TRIM(Raw_Data!C218)="","South",TRIM(Raw_Data!C218))</f>
        <v>East</v>
      </c>
      <c r="D218">
        <f>IF(TRIM(Raw_Data!D218)="",30435.80739,Raw_Data!D218)</f>
        <v>43746.49</v>
      </c>
      <c r="E218" t="str">
        <f>TEXT(Raw_Data!E218,"DD-MM-YYYY")</f>
        <v>06-10-2024</v>
      </c>
    </row>
    <row r="219" spans="1:5" x14ac:dyDescent="0.3">
      <c r="A219">
        <v>1217</v>
      </c>
      <c r="B219" t="str">
        <f>IF(TRIM(Raw_Data!B219)="","Unknown",PROPER(TRIM(Raw_Data!B219)))</f>
        <v>Mouse</v>
      </c>
      <c r="C219" t="str">
        <f>IF(TRIM(Raw_Data!C219)="","South",TRIM(Raw_Data!C219))</f>
        <v>West</v>
      </c>
      <c r="D219">
        <f>IF(TRIM(Raw_Data!D219)="",30435.80739,Raw_Data!D219)</f>
        <v>5685.74</v>
      </c>
      <c r="E219" t="str">
        <f>TEXT(Raw_Data!E219,"DD-MM-YYYY")</f>
        <v>19-08-2024</v>
      </c>
    </row>
    <row r="220" spans="1:5" x14ac:dyDescent="0.3">
      <c r="A220">
        <v>1218</v>
      </c>
      <c r="B220" t="str">
        <f>IF(TRIM(Raw_Data!B220)="","Unknown",PROPER(TRIM(Raw_Data!B220)))</f>
        <v>Tablet</v>
      </c>
      <c r="C220" t="str">
        <f>IF(TRIM(Raw_Data!C220)="","South",TRIM(Raw_Data!C220))</f>
        <v>South</v>
      </c>
      <c r="D220">
        <f>IF(TRIM(Raw_Data!D220)="",30435.80739,Raw_Data!D220)</f>
        <v>27102.19</v>
      </c>
      <c r="E220" t="str">
        <f>TEXT(Raw_Data!E220,"DD-MM-YYYY")</f>
        <v>11-11-2024</v>
      </c>
    </row>
    <row r="221" spans="1:5" x14ac:dyDescent="0.3">
      <c r="A221">
        <v>1219</v>
      </c>
      <c r="B221" t="str">
        <f>IF(TRIM(Raw_Data!B221)="","Unknown",PROPER(TRIM(Raw_Data!B221)))</f>
        <v>Monitor</v>
      </c>
      <c r="C221" t="str">
        <f>IF(TRIM(Raw_Data!C221)="","South",TRIM(Raw_Data!C221))</f>
        <v>North</v>
      </c>
      <c r="D221">
        <f>IF(TRIM(Raw_Data!D221)="",30435.80739,Raw_Data!D221)</f>
        <v>39401.760000000002</v>
      </c>
      <c r="E221" t="str">
        <f>TEXT(Raw_Data!E221,"DD-MM-YYYY")</f>
        <v>26-10-2024</v>
      </c>
    </row>
    <row r="222" spans="1:5" x14ac:dyDescent="0.3">
      <c r="A222">
        <v>1220</v>
      </c>
      <c r="B222" t="str">
        <f>IF(TRIM(Raw_Data!B222)="","Unknown",PROPER(TRIM(Raw_Data!B222)))</f>
        <v>Mouse</v>
      </c>
      <c r="C222" t="str">
        <f>IF(TRIM(Raw_Data!C222)="","South",TRIM(Raw_Data!C222))</f>
        <v>East</v>
      </c>
      <c r="D222">
        <f>IF(TRIM(Raw_Data!D222)="",30435.80739,Raw_Data!D222)</f>
        <v>44108.38</v>
      </c>
      <c r="E222" t="str">
        <f>TEXT(Raw_Data!E222,"DD-MM-YYYY")</f>
        <v>12-10-2024</v>
      </c>
    </row>
    <row r="223" spans="1:5" x14ac:dyDescent="0.3">
      <c r="A223">
        <v>1221</v>
      </c>
      <c r="B223" t="str">
        <f>IF(TRIM(Raw_Data!B223)="","Unknown",PROPER(TRIM(Raw_Data!B223)))</f>
        <v>Mouse</v>
      </c>
      <c r="C223" t="str">
        <f>IF(TRIM(Raw_Data!C223)="","South",TRIM(Raw_Data!C223))</f>
        <v>East</v>
      </c>
      <c r="D223">
        <f>IF(TRIM(Raw_Data!D223)="",30435.80739,Raw_Data!D223)</f>
        <v>11058.2</v>
      </c>
      <c r="E223" t="str">
        <f>TEXT(Raw_Data!E223,"DD-MM-YYYY")</f>
        <v>15-04-2024</v>
      </c>
    </row>
    <row r="224" spans="1:5" x14ac:dyDescent="0.3">
      <c r="A224">
        <v>1222</v>
      </c>
      <c r="B224" t="str">
        <f>IF(TRIM(Raw_Data!B224)="","Unknown",PROPER(TRIM(Raw_Data!B224)))</f>
        <v>Monitor</v>
      </c>
      <c r="C224" t="str">
        <f>IF(TRIM(Raw_Data!C224)="","South",TRIM(Raw_Data!C224))</f>
        <v>South</v>
      </c>
      <c r="D224">
        <f>IF(TRIM(Raw_Data!D224)="",30435.80739,Raw_Data!D224)</f>
        <v>47931.55</v>
      </c>
      <c r="E224" t="str">
        <f>TEXT(Raw_Data!E224,"DD-MM-YYYY")</f>
        <v>23-05-2024</v>
      </c>
    </row>
    <row r="225" spans="1:5" x14ac:dyDescent="0.3">
      <c r="A225">
        <v>1223</v>
      </c>
      <c r="B225" t="str">
        <f>IF(TRIM(Raw_Data!B225)="","Unknown",PROPER(TRIM(Raw_Data!B225)))</f>
        <v>Unknown</v>
      </c>
      <c r="C225" t="str">
        <f>IF(TRIM(Raw_Data!C225)="","South",TRIM(Raw_Data!C225))</f>
        <v>East</v>
      </c>
      <c r="D225">
        <f>IF(TRIM(Raw_Data!D225)="",30435.80739,Raw_Data!D225)</f>
        <v>15375.75</v>
      </c>
      <c r="E225" t="str">
        <f>TEXT(Raw_Data!E225,"DD-MM-YYYY")</f>
        <v>12-10-2024</v>
      </c>
    </row>
    <row r="226" spans="1:5" x14ac:dyDescent="0.3">
      <c r="A226">
        <v>1224</v>
      </c>
      <c r="B226" t="str">
        <f>IF(TRIM(Raw_Data!B226)="","Unknown",PROPER(TRIM(Raw_Data!B226)))</f>
        <v>Mouse</v>
      </c>
      <c r="C226" t="str">
        <f>IF(TRIM(Raw_Data!C226)="","South",TRIM(Raw_Data!C226))</f>
        <v>South</v>
      </c>
      <c r="D226">
        <f>IF(TRIM(Raw_Data!D226)="",30435.80739,Raw_Data!D226)</f>
        <v>47139.66</v>
      </c>
      <c r="E226" t="str">
        <f>TEXT(Raw_Data!E226,"DD-MM-YYYY")</f>
        <v>13-08-2024</v>
      </c>
    </row>
    <row r="227" spans="1:5" x14ac:dyDescent="0.3">
      <c r="A227">
        <v>1225</v>
      </c>
      <c r="B227" t="str">
        <f>IF(TRIM(Raw_Data!B227)="","Unknown",PROPER(TRIM(Raw_Data!B227)))</f>
        <v>Mouse</v>
      </c>
      <c r="C227" t="str">
        <f>IF(TRIM(Raw_Data!C227)="","South",TRIM(Raw_Data!C227))</f>
        <v>North</v>
      </c>
      <c r="D227">
        <f>IF(TRIM(Raw_Data!D227)="",30435.80739,Raw_Data!D227)</f>
        <v>21432.98</v>
      </c>
      <c r="E227" t="str">
        <f>TEXT(Raw_Data!E227,"DD-MM-YYYY")</f>
        <v>05-09-2024</v>
      </c>
    </row>
    <row r="228" spans="1:5" x14ac:dyDescent="0.3">
      <c r="A228">
        <v>1226</v>
      </c>
      <c r="B228" t="str">
        <f>IF(TRIM(Raw_Data!B228)="","Unknown",PROPER(TRIM(Raw_Data!B228)))</f>
        <v>Keyboard</v>
      </c>
      <c r="C228" t="str">
        <f>IF(TRIM(Raw_Data!C228)="","South",TRIM(Raw_Data!C228))</f>
        <v>West</v>
      </c>
      <c r="D228">
        <f>IF(TRIM(Raw_Data!D228)="",30435.80739,Raw_Data!D228)</f>
        <v>55244.13</v>
      </c>
      <c r="E228" t="str">
        <f>TEXT(Raw_Data!E228,"DD-MM-YYYY")</f>
        <v>22-05-2024</v>
      </c>
    </row>
    <row r="229" spans="1:5" x14ac:dyDescent="0.3">
      <c r="A229">
        <v>1227</v>
      </c>
      <c r="B229" t="str">
        <f>IF(TRIM(Raw_Data!B229)="","Unknown",PROPER(TRIM(Raw_Data!B229)))</f>
        <v>Monitor</v>
      </c>
      <c r="C229" t="str">
        <f>IF(TRIM(Raw_Data!C229)="","South",TRIM(Raw_Data!C229))</f>
        <v>West</v>
      </c>
      <c r="D229">
        <f>IF(TRIM(Raw_Data!D229)="",30435.80739,Raw_Data!D229)</f>
        <v>23456.77</v>
      </c>
      <c r="E229" t="str">
        <f>TEXT(Raw_Data!E229,"DD-MM-YYYY")</f>
        <v>03-08-2024</v>
      </c>
    </row>
    <row r="230" spans="1:5" x14ac:dyDescent="0.3">
      <c r="A230">
        <v>1228</v>
      </c>
      <c r="B230" t="str">
        <f>IF(TRIM(Raw_Data!B230)="","Unknown",PROPER(TRIM(Raw_Data!B230)))</f>
        <v>Tablet</v>
      </c>
      <c r="C230" t="str">
        <f>IF(TRIM(Raw_Data!C230)="","South",TRIM(Raw_Data!C230))</f>
        <v>North</v>
      </c>
      <c r="D230">
        <f>IF(TRIM(Raw_Data!D230)="",30435.80739,Raw_Data!D230)</f>
        <v>2350.7399999999998</v>
      </c>
      <c r="E230" t="str">
        <f>TEXT(Raw_Data!E230,"DD-MM-YYYY")</f>
        <v>12-12-2024</v>
      </c>
    </row>
    <row r="231" spans="1:5" x14ac:dyDescent="0.3">
      <c r="A231">
        <v>1229</v>
      </c>
      <c r="B231" t="str">
        <f>IF(TRIM(Raw_Data!B231)="","Unknown",PROPER(TRIM(Raw_Data!B231)))</f>
        <v>Monitor</v>
      </c>
      <c r="C231" t="str">
        <f>IF(TRIM(Raw_Data!C231)="","South",TRIM(Raw_Data!C231))</f>
        <v>West</v>
      </c>
      <c r="D231">
        <f>IF(TRIM(Raw_Data!D231)="",30435.80739,Raw_Data!D231)</f>
        <v>51858.85</v>
      </c>
      <c r="E231" t="str">
        <f>TEXT(Raw_Data!E231,"DD-MM-YYYY")</f>
        <v>12-06-2024</v>
      </c>
    </row>
    <row r="232" spans="1:5" x14ac:dyDescent="0.3">
      <c r="A232">
        <v>1230</v>
      </c>
      <c r="B232" t="str">
        <f>IF(TRIM(Raw_Data!B232)="","Unknown",PROPER(TRIM(Raw_Data!B232)))</f>
        <v>Tablet</v>
      </c>
      <c r="C232" t="str">
        <f>IF(TRIM(Raw_Data!C232)="","South",TRIM(Raw_Data!C232))</f>
        <v>South</v>
      </c>
      <c r="D232">
        <f>IF(TRIM(Raw_Data!D232)="",30435.80739,Raw_Data!D232)</f>
        <v>49686.85</v>
      </c>
      <c r="E232" t="str">
        <f>TEXT(Raw_Data!E232,"DD-MM-YYYY")</f>
        <v>20-05-2024</v>
      </c>
    </row>
    <row r="233" spans="1:5" x14ac:dyDescent="0.3">
      <c r="A233">
        <v>1231</v>
      </c>
      <c r="B233" t="str">
        <f>IF(TRIM(Raw_Data!B233)="","Unknown",PROPER(TRIM(Raw_Data!B233)))</f>
        <v>Laptop</v>
      </c>
      <c r="C233" t="str">
        <f>IF(TRIM(Raw_Data!C233)="","South",TRIM(Raw_Data!C233))</f>
        <v>East</v>
      </c>
      <c r="D233">
        <f>IF(TRIM(Raw_Data!D233)="",30435.80739,Raw_Data!D233)</f>
        <v>57983.51</v>
      </c>
      <c r="E233" t="str">
        <f>TEXT(Raw_Data!E233,"DD-MM-YYYY")</f>
        <v>05-04-2024</v>
      </c>
    </row>
    <row r="234" spans="1:5" x14ac:dyDescent="0.3">
      <c r="A234">
        <v>1232</v>
      </c>
      <c r="B234" t="str">
        <f>IF(TRIM(Raw_Data!B234)="","Unknown",PROPER(TRIM(Raw_Data!B234)))</f>
        <v>Tablet</v>
      </c>
      <c r="C234" t="str">
        <f>IF(TRIM(Raw_Data!C234)="","South",TRIM(Raw_Data!C234))</f>
        <v>North</v>
      </c>
      <c r="D234">
        <f>IF(TRIM(Raw_Data!D234)="",30435.80739,Raw_Data!D234)</f>
        <v>30435.807390000002</v>
      </c>
      <c r="E234" t="str">
        <f>TEXT(Raw_Data!E234,"DD-MM-YYYY")</f>
        <v>12-02-2024</v>
      </c>
    </row>
    <row r="235" spans="1:5" x14ac:dyDescent="0.3">
      <c r="A235">
        <v>1233</v>
      </c>
      <c r="B235" t="str">
        <f>IF(TRIM(Raw_Data!B235)="","Unknown",PROPER(TRIM(Raw_Data!B235)))</f>
        <v>Monitor</v>
      </c>
      <c r="C235" t="str">
        <f>IF(TRIM(Raw_Data!C235)="","South",TRIM(Raw_Data!C235))</f>
        <v>North</v>
      </c>
      <c r="D235">
        <f>IF(TRIM(Raw_Data!D235)="",30435.80739,Raw_Data!D235)</f>
        <v>4431.66</v>
      </c>
      <c r="E235" t="str">
        <f>TEXT(Raw_Data!E235,"DD-MM-YYYY")</f>
        <v>23-09-2024</v>
      </c>
    </row>
    <row r="236" spans="1:5" x14ac:dyDescent="0.3">
      <c r="A236">
        <v>1234</v>
      </c>
      <c r="B236" t="str">
        <f>IF(TRIM(Raw_Data!B236)="","Unknown",PROPER(TRIM(Raw_Data!B236)))</f>
        <v>Tablet</v>
      </c>
      <c r="C236" t="str">
        <f>IF(TRIM(Raw_Data!C236)="","South",TRIM(Raw_Data!C236))</f>
        <v>South</v>
      </c>
      <c r="D236">
        <f>IF(TRIM(Raw_Data!D236)="",30435.80739,Raw_Data!D236)</f>
        <v>47179.07</v>
      </c>
      <c r="E236" t="str">
        <f>TEXT(Raw_Data!E236,"DD-MM-YYYY")</f>
        <v>19-09-2024</v>
      </c>
    </row>
    <row r="237" spans="1:5" x14ac:dyDescent="0.3">
      <c r="A237">
        <v>1235</v>
      </c>
      <c r="B237" t="str">
        <f>IF(TRIM(Raw_Data!B237)="","Unknown",PROPER(TRIM(Raw_Data!B237)))</f>
        <v>Keyboard</v>
      </c>
      <c r="C237" t="str">
        <f>IF(TRIM(Raw_Data!C237)="","South",TRIM(Raw_Data!C237))</f>
        <v>West</v>
      </c>
      <c r="D237">
        <f>IF(TRIM(Raw_Data!D237)="",30435.80739,Raw_Data!D237)</f>
        <v>19068.96</v>
      </c>
      <c r="E237" t="str">
        <f>TEXT(Raw_Data!E237,"DD-MM-YYYY")</f>
        <v>03-11-2024</v>
      </c>
    </row>
    <row r="238" spans="1:5" x14ac:dyDescent="0.3">
      <c r="A238">
        <v>1236</v>
      </c>
      <c r="B238" t="str">
        <f>IF(TRIM(Raw_Data!B238)="","Unknown",PROPER(TRIM(Raw_Data!B238)))</f>
        <v>Monitor</v>
      </c>
      <c r="C238" t="str">
        <f>IF(TRIM(Raw_Data!C238)="","South",TRIM(Raw_Data!C238))</f>
        <v>North</v>
      </c>
      <c r="D238">
        <f>IF(TRIM(Raw_Data!D238)="",30435.80739,Raw_Data!D238)</f>
        <v>21899.94</v>
      </c>
      <c r="E238" t="str">
        <f>TEXT(Raw_Data!E238,"DD-MM-YYYY")</f>
        <v>03-06-2024</v>
      </c>
    </row>
    <row r="239" spans="1:5" x14ac:dyDescent="0.3">
      <c r="A239">
        <v>1237</v>
      </c>
      <c r="B239" t="str">
        <f>IF(TRIM(Raw_Data!B239)="","Unknown",PROPER(TRIM(Raw_Data!B239)))</f>
        <v>Mouse</v>
      </c>
      <c r="C239" t="str">
        <f>IF(TRIM(Raw_Data!C239)="","South",TRIM(Raw_Data!C239))</f>
        <v>South</v>
      </c>
      <c r="D239">
        <f>IF(TRIM(Raw_Data!D239)="",30435.80739,Raw_Data!D239)</f>
        <v>29399.3</v>
      </c>
      <c r="E239" t="str">
        <f>TEXT(Raw_Data!E239,"DD-MM-YYYY")</f>
        <v>02-09-2024</v>
      </c>
    </row>
    <row r="240" spans="1:5" x14ac:dyDescent="0.3">
      <c r="A240">
        <v>1238</v>
      </c>
      <c r="B240" t="str">
        <f>IF(TRIM(Raw_Data!B240)="","Unknown",PROPER(TRIM(Raw_Data!B240)))</f>
        <v>Laptop</v>
      </c>
      <c r="C240" t="str">
        <f>IF(TRIM(Raw_Data!C240)="","South",TRIM(Raw_Data!C240))</f>
        <v>South</v>
      </c>
      <c r="D240">
        <f>IF(TRIM(Raw_Data!D240)="",30435.80739,Raw_Data!D240)</f>
        <v>50223.9</v>
      </c>
      <c r="E240" t="str">
        <f>TEXT(Raw_Data!E240,"DD-MM-YYYY")</f>
        <v>31-07-2024</v>
      </c>
    </row>
    <row r="241" spans="1:5" x14ac:dyDescent="0.3">
      <c r="A241">
        <v>1239</v>
      </c>
      <c r="B241" t="str">
        <f>IF(TRIM(Raw_Data!B241)="","Unknown",PROPER(TRIM(Raw_Data!B241)))</f>
        <v>Unknown</v>
      </c>
      <c r="C241" t="str">
        <f>IF(TRIM(Raw_Data!C241)="","South",TRIM(Raw_Data!C241))</f>
        <v>North</v>
      </c>
      <c r="D241">
        <f>IF(TRIM(Raw_Data!D241)="",30435.80739,Raw_Data!D241)</f>
        <v>39119.32</v>
      </c>
      <c r="E241" t="str">
        <f>TEXT(Raw_Data!E241,"DD-MM-YYYY")</f>
        <v>03-11-2024</v>
      </c>
    </row>
    <row r="242" spans="1:5" x14ac:dyDescent="0.3">
      <c r="A242">
        <v>1240</v>
      </c>
      <c r="B242" t="str">
        <f>IF(TRIM(Raw_Data!B242)="","Unknown",PROPER(TRIM(Raw_Data!B242)))</f>
        <v>Tablet</v>
      </c>
      <c r="C242" t="str">
        <f>IF(TRIM(Raw_Data!C242)="","South",TRIM(Raw_Data!C242))</f>
        <v>West</v>
      </c>
      <c r="D242">
        <f>IF(TRIM(Raw_Data!D242)="",30435.80739,Raw_Data!D242)</f>
        <v>39450.93</v>
      </c>
      <c r="E242" t="str">
        <f>TEXT(Raw_Data!E242,"DD-MM-YYYY")</f>
        <v>14-08-2024</v>
      </c>
    </row>
    <row r="243" spans="1:5" x14ac:dyDescent="0.3">
      <c r="A243">
        <v>1241</v>
      </c>
      <c r="B243" t="str">
        <f>IF(TRIM(Raw_Data!B243)="","Unknown",PROPER(TRIM(Raw_Data!B243)))</f>
        <v>Mouse</v>
      </c>
      <c r="C243" t="str">
        <f>IF(TRIM(Raw_Data!C243)="","South",TRIM(Raw_Data!C243))</f>
        <v>West</v>
      </c>
      <c r="D243">
        <f>IF(TRIM(Raw_Data!D243)="",30435.80739,Raw_Data!D243)</f>
        <v>47427.3</v>
      </c>
      <c r="E243" t="str">
        <f>TEXT(Raw_Data!E243,"DD-MM-YYYY")</f>
        <v>08-05-2024</v>
      </c>
    </row>
    <row r="244" spans="1:5" x14ac:dyDescent="0.3">
      <c r="A244">
        <v>1242</v>
      </c>
      <c r="B244" t="str">
        <f>IF(TRIM(Raw_Data!B244)="","Unknown",PROPER(TRIM(Raw_Data!B244)))</f>
        <v>Tablet</v>
      </c>
      <c r="C244" t="str">
        <f>IF(TRIM(Raw_Data!C244)="","South",TRIM(Raw_Data!C244))</f>
        <v>West</v>
      </c>
      <c r="D244">
        <f>IF(TRIM(Raw_Data!D244)="",30435.80739,Raw_Data!D244)</f>
        <v>49682.8</v>
      </c>
      <c r="E244" t="str">
        <f>TEXT(Raw_Data!E244,"DD-MM-YYYY")</f>
        <v>03-09-2024</v>
      </c>
    </row>
    <row r="245" spans="1:5" x14ac:dyDescent="0.3">
      <c r="A245">
        <v>1243</v>
      </c>
      <c r="B245" t="str">
        <f>IF(TRIM(Raw_Data!B245)="","Unknown",PROPER(TRIM(Raw_Data!B245)))</f>
        <v>Keyboard</v>
      </c>
      <c r="C245" t="str">
        <f>IF(TRIM(Raw_Data!C245)="","South",TRIM(Raw_Data!C245))</f>
        <v>West</v>
      </c>
      <c r="D245">
        <f>IF(TRIM(Raw_Data!D245)="",30435.80739,Raw_Data!D245)</f>
        <v>9859.9699999999993</v>
      </c>
      <c r="E245" t="str">
        <f>TEXT(Raw_Data!E245,"DD-MM-YYYY")</f>
        <v>27-03-2024</v>
      </c>
    </row>
    <row r="246" spans="1:5" x14ac:dyDescent="0.3">
      <c r="A246">
        <v>1244</v>
      </c>
      <c r="B246" t="str">
        <f>IF(TRIM(Raw_Data!B246)="","Unknown",PROPER(TRIM(Raw_Data!B246)))</f>
        <v>Mouse</v>
      </c>
      <c r="C246" t="str">
        <f>IF(TRIM(Raw_Data!C246)="","South",TRIM(Raw_Data!C246))</f>
        <v>East</v>
      </c>
      <c r="D246">
        <f>IF(TRIM(Raw_Data!D246)="",30435.80739,Raw_Data!D246)</f>
        <v>1714.4</v>
      </c>
      <c r="E246" t="str">
        <f>TEXT(Raw_Data!E246,"DD-MM-YYYY")</f>
        <v>12-05-2024</v>
      </c>
    </row>
    <row r="247" spans="1:5" x14ac:dyDescent="0.3">
      <c r="A247">
        <v>1245</v>
      </c>
      <c r="B247" t="str">
        <f>IF(TRIM(Raw_Data!B247)="","Unknown",PROPER(TRIM(Raw_Data!B247)))</f>
        <v>Tablet</v>
      </c>
      <c r="C247" t="str">
        <f>IF(TRIM(Raw_Data!C247)="","South",TRIM(Raw_Data!C247))</f>
        <v>West</v>
      </c>
      <c r="D247">
        <f>IF(TRIM(Raw_Data!D247)="",30435.80739,Raw_Data!D247)</f>
        <v>47246.720000000001</v>
      </c>
      <c r="E247" t="str">
        <f>TEXT(Raw_Data!E247,"DD-MM-YYYY")</f>
        <v>20-02-2024</v>
      </c>
    </row>
    <row r="248" spans="1:5" x14ac:dyDescent="0.3">
      <c r="A248">
        <v>1246</v>
      </c>
      <c r="B248" t="str">
        <f>IF(TRIM(Raw_Data!B248)="","Unknown",PROPER(TRIM(Raw_Data!B248)))</f>
        <v>Tablet</v>
      </c>
      <c r="C248" t="str">
        <f>IF(TRIM(Raw_Data!C248)="","South",TRIM(Raw_Data!C248))</f>
        <v>North</v>
      </c>
      <c r="D248">
        <f>IF(TRIM(Raw_Data!D248)="",30435.80739,Raw_Data!D248)</f>
        <v>2235.75</v>
      </c>
      <c r="E248" t="str">
        <f>TEXT(Raw_Data!E248,"DD-MM-YYYY")</f>
        <v>07-08-2024</v>
      </c>
    </row>
    <row r="249" spans="1:5" x14ac:dyDescent="0.3">
      <c r="A249">
        <v>1247</v>
      </c>
      <c r="B249" t="str">
        <f>IF(TRIM(Raw_Data!B249)="","Unknown",PROPER(TRIM(Raw_Data!B249)))</f>
        <v>Laptop</v>
      </c>
      <c r="C249" t="str">
        <f>IF(TRIM(Raw_Data!C249)="","South",TRIM(Raw_Data!C249))</f>
        <v>North</v>
      </c>
      <c r="D249">
        <f>IF(TRIM(Raw_Data!D249)="",30435.80739,Raw_Data!D249)</f>
        <v>30435.807390000002</v>
      </c>
      <c r="E249" t="str">
        <f>TEXT(Raw_Data!E249,"DD-MM-YYYY")</f>
        <v>18-10-2024</v>
      </c>
    </row>
    <row r="250" spans="1:5" x14ac:dyDescent="0.3">
      <c r="A250">
        <v>1248</v>
      </c>
      <c r="B250" t="str">
        <f>IF(TRIM(Raw_Data!B250)="","Unknown",PROPER(TRIM(Raw_Data!B250)))</f>
        <v>Keyboard</v>
      </c>
      <c r="C250" t="str">
        <f>IF(TRIM(Raw_Data!C250)="","South",TRIM(Raw_Data!C250))</f>
        <v>South</v>
      </c>
      <c r="D250">
        <f>IF(TRIM(Raw_Data!D250)="",30435.80739,Raw_Data!D250)</f>
        <v>48124.14</v>
      </c>
      <c r="E250" t="str">
        <f>TEXT(Raw_Data!E250,"DD-MM-YYYY")</f>
        <v>19-05-2024</v>
      </c>
    </row>
    <row r="251" spans="1:5" x14ac:dyDescent="0.3">
      <c r="A251">
        <v>1249</v>
      </c>
      <c r="B251" t="str">
        <f>IF(TRIM(Raw_Data!B251)="","Unknown",PROPER(TRIM(Raw_Data!B251)))</f>
        <v>Tablet</v>
      </c>
      <c r="C251" t="str">
        <f>IF(TRIM(Raw_Data!C251)="","South",TRIM(Raw_Data!C251))</f>
        <v>North</v>
      </c>
      <c r="D251">
        <f>IF(TRIM(Raw_Data!D251)="",30435.80739,Raw_Data!D251)</f>
        <v>10241.67</v>
      </c>
      <c r="E251" t="str">
        <f>TEXT(Raw_Data!E251,"DD-MM-YYYY")</f>
        <v>10-01-2024</v>
      </c>
    </row>
    <row r="252" spans="1:5" x14ac:dyDescent="0.3">
      <c r="A252">
        <v>1250</v>
      </c>
      <c r="B252" t="str">
        <f>IF(TRIM(Raw_Data!B252)="","Unknown",PROPER(TRIM(Raw_Data!B252)))</f>
        <v>Laptop</v>
      </c>
      <c r="C252" t="str">
        <f>IF(TRIM(Raw_Data!C252)="","South",TRIM(Raw_Data!C252))</f>
        <v>North</v>
      </c>
      <c r="D252">
        <f>IF(TRIM(Raw_Data!D252)="",30435.80739,Raw_Data!D252)</f>
        <v>37163.440000000002</v>
      </c>
      <c r="E252" t="str">
        <f>TEXT(Raw_Data!E252,"DD-MM-YYYY")</f>
        <v>04-10-2024</v>
      </c>
    </row>
    <row r="253" spans="1:5" x14ac:dyDescent="0.3">
      <c r="A253">
        <v>1251</v>
      </c>
      <c r="B253" t="str">
        <f>IF(TRIM(Raw_Data!B253)="","Unknown",PROPER(TRIM(Raw_Data!B253)))</f>
        <v>Monitor</v>
      </c>
      <c r="C253" t="str">
        <f>IF(TRIM(Raw_Data!C253)="","South",TRIM(Raw_Data!C253))</f>
        <v>South</v>
      </c>
      <c r="D253">
        <f>IF(TRIM(Raw_Data!D253)="",30435.80739,Raw_Data!D253)</f>
        <v>30435.807390000002</v>
      </c>
      <c r="E253" t="str">
        <f>TEXT(Raw_Data!E253,"DD-MM-YYYY")</f>
        <v>01-05-2024</v>
      </c>
    </row>
    <row r="254" spans="1:5" x14ac:dyDescent="0.3">
      <c r="A254">
        <v>1252</v>
      </c>
      <c r="B254" t="str">
        <f>IF(TRIM(Raw_Data!B254)="","Unknown",PROPER(TRIM(Raw_Data!B254)))</f>
        <v>Keyboard</v>
      </c>
      <c r="C254" t="str">
        <f>IF(TRIM(Raw_Data!C254)="","South",TRIM(Raw_Data!C254))</f>
        <v>South</v>
      </c>
      <c r="D254">
        <f>IF(TRIM(Raw_Data!D254)="",30435.80739,Raw_Data!D254)</f>
        <v>28171.83</v>
      </c>
      <c r="E254" t="str">
        <f>TEXT(Raw_Data!E254,"DD-MM-YYYY")</f>
        <v>28-10-2024</v>
      </c>
    </row>
    <row r="255" spans="1:5" x14ac:dyDescent="0.3">
      <c r="A255">
        <v>1253</v>
      </c>
      <c r="B255" t="str">
        <f>IF(TRIM(Raw_Data!B255)="","Unknown",PROPER(TRIM(Raw_Data!B255)))</f>
        <v>Mouse</v>
      </c>
      <c r="C255" t="str">
        <f>IF(TRIM(Raw_Data!C255)="","South",TRIM(Raw_Data!C255))</f>
        <v>East</v>
      </c>
      <c r="D255">
        <f>IF(TRIM(Raw_Data!D255)="",30435.80739,Raw_Data!D255)</f>
        <v>56305.9</v>
      </c>
      <c r="E255" t="str">
        <f>TEXT(Raw_Data!E255,"DD-MM-YYYY")</f>
        <v>11-10-2024</v>
      </c>
    </row>
    <row r="256" spans="1:5" x14ac:dyDescent="0.3">
      <c r="A256">
        <v>1254</v>
      </c>
      <c r="B256" t="str">
        <f>IF(TRIM(Raw_Data!B256)="","Unknown",PROPER(TRIM(Raw_Data!B256)))</f>
        <v>Tablet</v>
      </c>
      <c r="C256" t="str">
        <f>IF(TRIM(Raw_Data!C256)="","South",TRIM(Raw_Data!C256))</f>
        <v>South</v>
      </c>
      <c r="D256">
        <f>IF(TRIM(Raw_Data!D256)="",30435.80739,Raw_Data!D256)</f>
        <v>9889.89</v>
      </c>
      <c r="E256" t="str">
        <f>TEXT(Raw_Data!E256,"DD-MM-YYYY")</f>
        <v>13-02-2024</v>
      </c>
    </row>
    <row r="257" spans="1:5" x14ac:dyDescent="0.3">
      <c r="A257">
        <v>1255</v>
      </c>
      <c r="B257" t="str">
        <f>IF(TRIM(Raw_Data!B257)="","Unknown",PROPER(TRIM(Raw_Data!B257)))</f>
        <v>Tablet</v>
      </c>
      <c r="C257" t="str">
        <f>IF(TRIM(Raw_Data!C257)="","South",TRIM(Raw_Data!C257))</f>
        <v>West</v>
      </c>
      <c r="D257">
        <f>IF(TRIM(Raw_Data!D257)="",30435.80739,Raw_Data!D257)</f>
        <v>41644.230000000003</v>
      </c>
      <c r="E257" t="str">
        <f>TEXT(Raw_Data!E257,"DD-MM-YYYY")</f>
        <v>21-10-2024</v>
      </c>
    </row>
    <row r="258" spans="1:5" x14ac:dyDescent="0.3">
      <c r="A258">
        <v>1256</v>
      </c>
      <c r="B258" t="str">
        <f>IF(TRIM(Raw_Data!B258)="","Unknown",PROPER(TRIM(Raw_Data!B258)))</f>
        <v>Tablet</v>
      </c>
      <c r="C258" t="str">
        <f>IF(TRIM(Raw_Data!C258)="","South",TRIM(Raw_Data!C258))</f>
        <v>East</v>
      </c>
      <c r="D258">
        <f>IF(TRIM(Raw_Data!D258)="",30435.80739,Raw_Data!D258)</f>
        <v>44761.01</v>
      </c>
      <c r="E258" t="str">
        <f>TEXT(Raw_Data!E258,"DD-MM-YYYY")</f>
        <v>03-01-2024</v>
      </c>
    </row>
    <row r="259" spans="1:5" x14ac:dyDescent="0.3">
      <c r="A259">
        <v>1257</v>
      </c>
      <c r="B259" t="str">
        <f>IF(TRIM(Raw_Data!B259)="","Unknown",PROPER(TRIM(Raw_Data!B259)))</f>
        <v>Laptop</v>
      </c>
      <c r="C259" t="str">
        <f>IF(TRIM(Raw_Data!C259)="","South",TRIM(Raw_Data!C259))</f>
        <v>South</v>
      </c>
      <c r="D259">
        <f>IF(TRIM(Raw_Data!D259)="",30435.80739,Raw_Data!D259)</f>
        <v>44251.21</v>
      </c>
      <c r="E259" t="str">
        <f>TEXT(Raw_Data!E259,"DD-MM-YYYY")</f>
        <v>18-08-2024</v>
      </c>
    </row>
    <row r="260" spans="1:5" x14ac:dyDescent="0.3">
      <c r="A260">
        <v>1258</v>
      </c>
      <c r="B260" t="str">
        <f>IF(TRIM(Raw_Data!B260)="","Unknown",PROPER(TRIM(Raw_Data!B260)))</f>
        <v>Tablet</v>
      </c>
      <c r="C260" t="str">
        <f>IF(TRIM(Raw_Data!C260)="","South",TRIM(Raw_Data!C260))</f>
        <v>South</v>
      </c>
      <c r="D260">
        <f>IF(TRIM(Raw_Data!D260)="",30435.80739,Raw_Data!D260)</f>
        <v>50557.87</v>
      </c>
      <c r="E260" t="str">
        <f>TEXT(Raw_Data!E260,"DD-MM-YYYY")</f>
        <v>12-01-2024</v>
      </c>
    </row>
    <row r="261" spans="1:5" x14ac:dyDescent="0.3">
      <c r="A261">
        <v>1259</v>
      </c>
      <c r="B261" t="str">
        <f>IF(TRIM(Raw_Data!B261)="","Unknown",PROPER(TRIM(Raw_Data!B261)))</f>
        <v>Monitor</v>
      </c>
      <c r="C261" t="str">
        <f>IF(TRIM(Raw_Data!C261)="","South",TRIM(Raw_Data!C261))</f>
        <v>East</v>
      </c>
      <c r="D261">
        <f>IF(TRIM(Raw_Data!D261)="",30435.80739,Raw_Data!D261)</f>
        <v>19030.650000000001</v>
      </c>
      <c r="E261" t="str">
        <f>TEXT(Raw_Data!E261,"DD-MM-YYYY")</f>
        <v>07-11-2024</v>
      </c>
    </row>
    <row r="262" spans="1:5" x14ac:dyDescent="0.3">
      <c r="A262">
        <v>1260</v>
      </c>
      <c r="B262" t="str">
        <f>IF(TRIM(Raw_Data!B262)="","Unknown",PROPER(TRIM(Raw_Data!B262)))</f>
        <v>Tablet</v>
      </c>
      <c r="C262" t="str">
        <f>IF(TRIM(Raw_Data!C262)="","South",TRIM(Raw_Data!C262))</f>
        <v>West</v>
      </c>
      <c r="D262">
        <f>IF(TRIM(Raw_Data!D262)="",30435.80739,Raw_Data!D262)</f>
        <v>9131.5499999999993</v>
      </c>
      <c r="E262" t="str">
        <f>TEXT(Raw_Data!E262,"DD-MM-YYYY")</f>
        <v>17-08-2024</v>
      </c>
    </row>
    <row r="263" spans="1:5" x14ac:dyDescent="0.3">
      <c r="A263">
        <v>1758</v>
      </c>
      <c r="B263" t="str">
        <f>IF(TRIM(Raw_Data!B263)="","Unknown",PROPER(TRIM(Raw_Data!B263)))</f>
        <v>Laptop</v>
      </c>
      <c r="C263" t="str">
        <f>IF(TRIM(Raw_Data!C263)="","South",TRIM(Raw_Data!C263))</f>
        <v>North</v>
      </c>
      <c r="D263">
        <f>IF(TRIM(Raw_Data!D263)="",30435.80739,Raw_Data!D263)</f>
        <v>6486.45</v>
      </c>
      <c r="E263" t="str">
        <f>TEXT(Raw_Data!E263,"DD-MM-YYYY")</f>
        <v>28-04-2024</v>
      </c>
    </row>
    <row r="264" spans="1:5" x14ac:dyDescent="0.3">
      <c r="A264">
        <v>1262</v>
      </c>
      <c r="B264" t="str">
        <f>IF(TRIM(Raw_Data!B264)="","Unknown",PROPER(TRIM(Raw_Data!B264)))</f>
        <v>Mouse</v>
      </c>
      <c r="C264" t="str">
        <f>IF(TRIM(Raw_Data!C264)="","South",TRIM(Raw_Data!C264))</f>
        <v>West</v>
      </c>
      <c r="D264">
        <f>IF(TRIM(Raw_Data!D264)="",30435.80739,Raw_Data!D264)</f>
        <v>4115.43</v>
      </c>
      <c r="E264" t="str">
        <f>TEXT(Raw_Data!E264,"DD-MM-YYYY")</f>
        <v>24-01-2024</v>
      </c>
    </row>
    <row r="265" spans="1:5" x14ac:dyDescent="0.3">
      <c r="A265">
        <v>1263</v>
      </c>
      <c r="B265" t="str">
        <f>IF(TRIM(Raw_Data!B265)="","Unknown",PROPER(TRIM(Raw_Data!B265)))</f>
        <v>Laptop</v>
      </c>
      <c r="C265" t="str">
        <f>IF(TRIM(Raw_Data!C265)="","South",TRIM(Raw_Data!C265))</f>
        <v>East</v>
      </c>
      <c r="D265">
        <f>IF(TRIM(Raw_Data!D265)="",30435.80739,Raw_Data!D265)</f>
        <v>4454.5</v>
      </c>
      <c r="E265" t="str">
        <f>TEXT(Raw_Data!E265,"DD-MM-YYYY")</f>
        <v>18-04-2024</v>
      </c>
    </row>
    <row r="266" spans="1:5" x14ac:dyDescent="0.3">
      <c r="A266">
        <v>1264</v>
      </c>
      <c r="B266" t="str">
        <f>IF(TRIM(Raw_Data!B266)="","Unknown",PROPER(TRIM(Raw_Data!B266)))</f>
        <v>Tablet</v>
      </c>
      <c r="C266" t="str">
        <f>IF(TRIM(Raw_Data!C266)="","South",TRIM(Raw_Data!C266))</f>
        <v>North</v>
      </c>
      <c r="D266">
        <f>IF(TRIM(Raw_Data!D266)="",30435.80739,Raw_Data!D266)</f>
        <v>8220.23</v>
      </c>
      <c r="E266" t="str">
        <f>TEXT(Raw_Data!E266,"DD-MM-YYYY")</f>
        <v>22-04-2024</v>
      </c>
    </row>
    <row r="267" spans="1:5" x14ac:dyDescent="0.3">
      <c r="A267">
        <v>1265</v>
      </c>
      <c r="B267" t="str">
        <f>IF(TRIM(Raw_Data!B267)="","Unknown",PROPER(TRIM(Raw_Data!B267)))</f>
        <v>Keyboard</v>
      </c>
      <c r="C267" t="str">
        <f>IF(TRIM(Raw_Data!C267)="","South",TRIM(Raw_Data!C267))</f>
        <v>North</v>
      </c>
      <c r="D267">
        <f>IF(TRIM(Raw_Data!D267)="",30435.80739,Raw_Data!D267)</f>
        <v>56053.69</v>
      </c>
      <c r="E267" t="str">
        <f>TEXT(Raw_Data!E267,"DD-MM-YYYY")</f>
        <v>27-10-2024</v>
      </c>
    </row>
    <row r="268" spans="1:5" x14ac:dyDescent="0.3">
      <c r="A268">
        <v>1266</v>
      </c>
      <c r="B268" t="str">
        <f>IF(TRIM(Raw_Data!B268)="","Unknown",PROPER(TRIM(Raw_Data!B268)))</f>
        <v>Laptop</v>
      </c>
      <c r="C268" t="str">
        <f>IF(TRIM(Raw_Data!C268)="","South",TRIM(Raw_Data!C268))</f>
        <v>South</v>
      </c>
      <c r="D268">
        <f>IF(TRIM(Raw_Data!D268)="",30435.80739,Raw_Data!D268)</f>
        <v>59476.46</v>
      </c>
      <c r="E268" t="str">
        <f>TEXT(Raw_Data!E268,"DD-MM-YYYY")</f>
        <v>03-05-2024</v>
      </c>
    </row>
    <row r="269" spans="1:5" x14ac:dyDescent="0.3">
      <c r="A269">
        <v>1267</v>
      </c>
      <c r="B269" t="str">
        <f>IF(TRIM(Raw_Data!B269)="","Unknown",PROPER(TRIM(Raw_Data!B269)))</f>
        <v>Mouse</v>
      </c>
      <c r="C269" t="str">
        <f>IF(TRIM(Raw_Data!C269)="","South",TRIM(Raw_Data!C269))</f>
        <v>East</v>
      </c>
      <c r="D269">
        <f>IF(TRIM(Raw_Data!D269)="",30435.80739,Raw_Data!D269)</f>
        <v>2545.61</v>
      </c>
      <c r="E269" t="str">
        <f>TEXT(Raw_Data!E269,"DD-MM-YYYY")</f>
        <v>22-04-2024</v>
      </c>
    </row>
    <row r="270" spans="1:5" x14ac:dyDescent="0.3">
      <c r="A270">
        <v>1268</v>
      </c>
      <c r="B270" t="str">
        <f>IF(TRIM(Raw_Data!B270)="","Unknown",PROPER(TRIM(Raw_Data!B270)))</f>
        <v>Laptop</v>
      </c>
      <c r="C270" t="str">
        <f>IF(TRIM(Raw_Data!C270)="","South",TRIM(Raw_Data!C270))</f>
        <v>West</v>
      </c>
      <c r="D270">
        <f>IF(TRIM(Raw_Data!D270)="",30435.80739,Raw_Data!D270)</f>
        <v>51310.95</v>
      </c>
      <c r="E270" t="str">
        <f>TEXT(Raw_Data!E270,"DD-MM-YYYY")</f>
        <v>09-03-2024</v>
      </c>
    </row>
    <row r="271" spans="1:5" x14ac:dyDescent="0.3">
      <c r="A271">
        <v>1269</v>
      </c>
      <c r="B271" t="str">
        <f>IF(TRIM(Raw_Data!B271)="","Unknown",PROPER(TRIM(Raw_Data!B271)))</f>
        <v>Laptop</v>
      </c>
      <c r="C271" t="str">
        <f>IF(TRIM(Raw_Data!C271)="","South",TRIM(Raw_Data!C271))</f>
        <v>North</v>
      </c>
      <c r="D271">
        <f>IF(TRIM(Raw_Data!D271)="",30435.80739,Raw_Data!D271)</f>
        <v>5755.49</v>
      </c>
      <c r="E271" t="str">
        <f>TEXT(Raw_Data!E271,"DD-MM-YYYY")</f>
        <v>18-08-2024</v>
      </c>
    </row>
    <row r="272" spans="1:5" x14ac:dyDescent="0.3">
      <c r="A272">
        <v>1270</v>
      </c>
      <c r="B272" t="str">
        <f>IF(TRIM(Raw_Data!B272)="","Unknown",PROPER(TRIM(Raw_Data!B272)))</f>
        <v>Unknown</v>
      </c>
      <c r="C272" t="str">
        <f>IF(TRIM(Raw_Data!C272)="","South",TRIM(Raw_Data!C272))</f>
        <v>North</v>
      </c>
      <c r="D272">
        <f>IF(TRIM(Raw_Data!D272)="",30435.80739,Raw_Data!D272)</f>
        <v>8749.6200000000008</v>
      </c>
      <c r="E272" t="str">
        <f>TEXT(Raw_Data!E272,"DD-MM-YYYY")</f>
        <v>26-02-2024</v>
      </c>
    </row>
    <row r="273" spans="1:5" x14ac:dyDescent="0.3">
      <c r="A273">
        <v>1271</v>
      </c>
      <c r="B273" t="str">
        <f>IF(TRIM(Raw_Data!B273)="","Unknown",PROPER(TRIM(Raw_Data!B273)))</f>
        <v>Tablet</v>
      </c>
      <c r="C273" t="str">
        <f>IF(TRIM(Raw_Data!C273)="","South",TRIM(Raw_Data!C273))</f>
        <v>South</v>
      </c>
      <c r="D273">
        <f>IF(TRIM(Raw_Data!D273)="",30435.80739,Raw_Data!D273)</f>
        <v>16440.64</v>
      </c>
      <c r="E273" t="str">
        <f>TEXT(Raw_Data!E273,"DD-MM-YYYY")</f>
        <v>11-06-2024</v>
      </c>
    </row>
    <row r="274" spans="1:5" x14ac:dyDescent="0.3">
      <c r="A274">
        <v>1272</v>
      </c>
      <c r="B274" t="str">
        <f>IF(TRIM(Raw_Data!B274)="","Unknown",PROPER(TRIM(Raw_Data!B274)))</f>
        <v>Mouse</v>
      </c>
      <c r="C274" t="str">
        <f>IF(TRIM(Raw_Data!C274)="","South",TRIM(Raw_Data!C274))</f>
        <v>East</v>
      </c>
      <c r="D274">
        <f>IF(TRIM(Raw_Data!D274)="",30435.80739,Raw_Data!D274)</f>
        <v>50842.58</v>
      </c>
      <c r="E274" t="str">
        <f>TEXT(Raw_Data!E274,"DD-MM-YYYY")</f>
        <v>10-03-2024</v>
      </c>
    </row>
    <row r="275" spans="1:5" x14ac:dyDescent="0.3">
      <c r="A275">
        <v>1273</v>
      </c>
      <c r="B275" t="str">
        <f>IF(TRIM(Raw_Data!B275)="","Unknown",PROPER(TRIM(Raw_Data!B275)))</f>
        <v>Unknown</v>
      </c>
      <c r="C275" t="str">
        <f>IF(TRIM(Raw_Data!C275)="","South",TRIM(Raw_Data!C275))</f>
        <v>East</v>
      </c>
      <c r="D275">
        <f>IF(TRIM(Raw_Data!D275)="",30435.80739,Raw_Data!D275)</f>
        <v>9215.48</v>
      </c>
      <c r="E275" t="str">
        <f>TEXT(Raw_Data!E275,"DD-MM-YYYY")</f>
        <v>14-07-2024</v>
      </c>
    </row>
    <row r="276" spans="1:5" x14ac:dyDescent="0.3">
      <c r="A276">
        <v>1274</v>
      </c>
      <c r="B276" t="str">
        <f>IF(TRIM(Raw_Data!B276)="","Unknown",PROPER(TRIM(Raw_Data!B276)))</f>
        <v>Laptop</v>
      </c>
      <c r="C276" t="str">
        <f>IF(TRIM(Raw_Data!C276)="","South",TRIM(Raw_Data!C276))</f>
        <v>North</v>
      </c>
      <c r="D276">
        <f>IF(TRIM(Raw_Data!D276)="",30435.80739,Raw_Data!D276)</f>
        <v>8551.2999999999993</v>
      </c>
      <c r="E276" t="str">
        <f>TEXT(Raw_Data!E276,"DD-MM-YYYY")</f>
        <v>17-07-2024</v>
      </c>
    </row>
    <row r="277" spans="1:5" x14ac:dyDescent="0.3">
      <c r="A277">
        <v>1275</v>
      </c>
      <c r="B277" t="str">
        <f>IF(TRIM(Raw_Data!B277)="","Unknown",PROPER(TRIM(Raw_Data!B277)))</f>
        <v>Keyboard</v>
      </c>
      <c r="C277" t="str">
        <f>IF(TRIM(Raw_Data!C277)="","South",TRIM(Raw_Data!C277))</f>
        <v>North</v>
      </c>
      <c r="D277">
        <f>IF(TRIM(Raw_Data!D277)="",30435.80739,Raw_Data!D277)</f>
        <v>9552.94</v>
      </c>
      <c r="E277" t="str">
        <f>TEXT(Raw_Data!E277,"DD-MM-YYYY")</f>
        <v>27-03-2024</v>
      </c>
    </row>
    <row r="278" spans="1:5" x14ac:dyDescent="0.3">
      <c r="A278">
        <v>1276</v>
      </c>
      <c r="B278" t="str">
        <f>IF(TRIM(Raw_Data!B278)="","Unknown",PROPER(TRIM(Raw_Data!B278)))</f>
        <v>Laptop</v>
      </c>
      <c r="C278" t="str">
        <f>IF(TRIM(Raw_Data!C278)="","South",TRIM(Raw_Data!C278))</f>
        <v>North</v>
      </c>
      <c r="D278">
        <f>IF(TRIM(Raw_Data!D278)="",30435.80739,Raw_Data!D278)</f>
        <v>21620.880000000001</v>
      </c>
      <c r="E278" t="str">
        <f>TEXT(Raw_Data!E278,"DD-MM-YYYY")</f>
        <v>09-06-2024</v>
      </c>
    </row>
    <row r="279" spans="1:5" x14ac:dyDescent="0.3">
      <c r="A279">
        <v>1277</v>
      </c>
      <c r="B279" t="str">
        <f>IF(TRIM(Raw_Data!B279)="","Unknown",PROPER(TRIM(Raw_Data!B279)))</f>
        <v>Tablet</v>
      </c>
      <c r="C279" t="str">
        <f>IF(TRIM(Raw_Data!C279)="","South",TRIM(Raw_Data!C279))</f>
        <v>West</v>
      </c>
      <c r="D279">
        <f>IF(TRIM(Raw_Data!D279)="",30435.80739,Raw_Data!D279)</f>
        <v>31880.06</v>
      </c>
      <c r="E279" t="str">
        <f>TEXT(Raw_Data!E279,"DD-MM-YYYY")</f>
        <v>01-03-2024</v>
      </c>
    </row>
    <row r="280" spans="1:5" x14ac:dyDescent="0.3">
      <c r="A280">
        <v>1278</v>
      </c>
      <c r="B280" t="str">
        <f>IF(TRIM(Raw_Data!B280)="","Unknown",PROPER(TRIM(Raw_Data!B280)))</f>
        <v>Mouse</v>
      </c>
      <c r="C280" t="str">
        <f>IF(TRIM(Raw_Data!C280)="","South",TRIM(Raw_Data!C280))</f>
        <v>South</v>
      </c>
      <c r="D280">
        <f>IF(TRIM(Raw_Data!D280)="",30435.80739,Raw_Data!D280)</f>
        <v>37161.11</v>
      </c>
      <c r="E280" t="str">
        <f>TEXT(Raw_Data!E280,"DD-MM-YYYY")</f>
        <v>16-07-2024</v>
      </c>
    </row>
    <row r="281" spans="1:5" x14ac:dyDescent="0.3">
      <c r="A281">
        <v>1279</v>
      </c>
      <c r="B281" t="str">
        <f>IF(TRIM(Raw_Data!B281)="","Unknown",PROPER(TRIM(Raw_Data!B281)))</f>
        <v>Tablet</v>
      </c>
      <c r="C281" t="str">
        <f>IF(TRIM(Raw_Data!C281)="","South",TRIM(Raw_Data!C281))</f>
        <v>South</v>
      </c>
      <c r="D281">
        <f>IF(TRIM(Raw_Data!D281)="",30435.80739,Raw_Data!D281)</f>
        <v>51857.23</v>
      </c>
      <c r="E281" t="str">
        <f>TEXT(Raw_Data!E281,"DD-MM-YYYY")</f>
        <v>04-05-2024</v>
      </c>
    </row>
    <row r="282" spans="1:5" x14ac:dyDescent="0.3">
      <c r="A282">
        <v>1280</v>
      </c>
      <c r="B282" t="str">
        <f>IF(TRIM(Raw_Data!B282)="","Unknown",PROPER(TRIM(Raw_Data!B282)))</f>
        <v>Keyboard</v>
      </c>
      <c r="C282" t="str">
        <f>IF(TRIM(Raw_Data!C282)="","South",TRIM(Raw_Data!C282))</f>
        <v>North</v>
      </c>
      <c r="D282">
        <f>IF(TRIM(Raw_Data!D282)="",30435.80739,Raw_Data!D282)</f>
        <v>47845.39</v>
      </c>
      <c r="E282" t="str">
        <f>TEXT(Raw_Data!E282,"DD-MM-YYYY")</f>
        <v>18-02-2024</v>
      </c>
    </row>
    <row r="283" spans="1:5" x14ac:dyDescent="0.3">
      <c r="A283">
        <v>1281</v>
      </c>
      <c r="B283" t="str">
        <f>IF(TRIM(Raw_Data!B283)="","Unknown",PROPER(TRIM(Raw_Data!B283)))</f>
        <v>Tablet</v>
      </c>
      <c r="C283" t="str">
        <f>IF(TRIM(Raw_Data!C283)="","South",TRIM(Raw_Data!C283))</f>
        <v>South</v>
      </c>
      <c r="D283">
        <f>IF(TRIM(Raw_Data!D283)="",30435.80739,Raw_Data!D283)</f>
        <v>31643.77</v>
      </c>
      <c r="E283" t="str">
        <f>TEXT(Raw_Data!E283,"DD-MM-YYYY")</f>
        <v>19-08-2024</v>
      </c>
    </row>
    <row r="284" spans="1:5" x14ac:dyDescent="0.3">
      <c r="A284">
        <v>1282</v>
      </c>
      <c r="B284" t="str">
        <f>IF(TRIM(Raw_Data!B284)="","Unknown",PROPER(TRIM(Raw_Data!B284)))</f>
        <v>Keyboard</v>
      </c>
      <c r="C284" t="str">
        <f>IF(TRIM(Raw_Data!C284)="","South",TRIM(Raw_Data!C284))</f>
        <v>North</v>
      </c>
      <c r="D284">
        <f>IF(TRIM(Raw_Data!D284)="",30435.80739,Raw_Data!D284)</f>
        <v>46548.74</v>
      </c>
      <c r="E284" t="str">
        <f>TEXT(Raw_Data!E284,"DD-MM-YYYY")</f>
        <v>06-03-2024</v>
      </c>
    </row>
    <row r="285" spans="1:5" x14ac:dyDescent="0.3">
      <c r="A285">
        <v>1283</v>
      </c>
      <c r="B285" t="str">
        <f>IF(TRIM(Raw_Data!B285)="","Unknown",PROPER(TRIM(Raw_Data!B285)))</f>
        <v>Mouse</v>
      </c>
      <c r="C285" t="str">
        <f>IF(TRIM(Raw_Data!C285)="","South",TRIM(Raw_Data!C285))</f>
        <v>North</v>
      </c>
      <c r="D285">
        <f>IF(TRIM(Raw_Data!D285)="",30435.80739,Raw_Data!D285)</f>
        <v>7222.95</v>
      </c>
      <c r="E285" t="str">
        <f>TEXT(Raw_Data!E285,"DD-MM-YYYY")</f>
        <v>05-10-2024</v>
      </c>
    </row>
    <row r="286" spans="1:5" x14ac:dyDescent="0.3">
      <c r="A286">
        <v>1284</v>
      </c>
      <c r="B286" t="str">
        <f>IF(TRIM(Raw_Data!B286)="","Unknown",PROPER(TRIM(Raw_Data!B286)))</f>
        <v>Mouse</v>
      </c>
      <c r="C286" t="str">
        <f>IF(TRIM(Raw_Data!C286)="","South",TRIM(Raw_Data!C286))</f>
        <v>East</v>
      </c>
      <c r="D286">
        <f>IF(TRIM(Raw_Data!D286)="",30435.80739,Raw_Data!D286)</f>
        <v>17941.14</v>
      </c>
      <c r="E286" t="str">
        <f>TEXT(Raw_Data!E286,"DD-MM-YYYY")</f>
        <v>23-10-2024</v>
      </c>
    </row>
    <row r="287" spans="1:5" x14ac:dyDescent="0.3">
      <c r="A287">
        <v>1285</v>
      </c>
      <c r="B287" t="str">
        <f>IF(TRIM(Raw_Data!B287)="","Unknown",PROPER(TRIM(Raw_Data!B287)))</f>
        <v>Keyboard</v>
      </c>
      <c r="C287" t="str">
        <f>IF(TRIM(Raw_Data!C287)="","South",TRIM(Raw_Data!C287))</f>
        <v>South</v>
      </c>
      <c r="D287">
        <f>IF(TRIM(Raw_Data!D287)="",30435.80739,Raw_Data!D287)</f>
        <v>10319.33</v>
      </c>
      <c r="E287" t="str">
        <f>TEXT(Raw_Data!E287,"DD-MM-YYYY")</f>
        <v>24-09-2024</v>
      </c>
    </row>
    <row r="288" spans="1:5" x14ac:dyDescent="0.3">
      <c r="A288">
        <v>1286</v>
      </c>
      <c r="B288" t="str">
        <f>IF(TRIM(Raw_Data!B288)="","Unknown",PROPER(TRIM(Raw_Data!B288)))</f>
        <v>Keyboard</v>
      </c>
      <c r="C288" t="str">
        <f>IF(TRIM(Raw_Data!C288)="","South",TRIM(Raw_Data!C288))</f>
        <v>East</v>
      </c>
      <c r="D288">
        <f>IF(TRIM(Raw_Data!D288)="",30435.80739,Raw_Data!D288)</f>
        <v>30916.02</v>
      </c>
      <c r="E288" t="str">
        <f>TEXT(Raw_Data!E288,"DD-MM-YYYY")</f>
        <v>07-08-2024</v>
      </c>
    </row>
    <row r="289" spans="1:5" x14ac:dyDescent="0.3">
      <c r="A289">
        <v>1287</v>
      </c>
      <c r="B289" t="str">
        <f>IF(TRIM(Raw_Data!B289)="","Unknown",PROPER(TRIM(Raw_Data!B289)))</f>
        <v>Laptop</v>
      </c>
      <c r="C289" t="str">
        <f>IF(TRIM(Raw_Data!C289)="","South",TRIM(Raw_Data!C289))</f>
        <v>East</v>
      </c>
      <c r="D289">
        <f>IF(TRIM(Raw_Data!D289)="",30435.80739,Raw_Data!D289)</f>
        <v>26979.08</v>
      </c>
      <c r="E289" t="str">
        <f>TEXT(Raw_Data!E289,"DD-MM-YYYY")</f>
        <v>02-09-2024</v>
      </c>
    </row>
    <row r="290" spans="1:5" x14ac:dyDescent="0.3">
      <c r="A290">
        <v>1288</v>
      </c>
      <c r="B290" t="str">
        <f>IF(TRIM(Raw_Data!B290)="","Unknown",PROPER(TRIM(Raw_Data!B290)))</f>
        <v>Monitor</v>
      </c>
      <c r="C290" t="str">
        <f>IF(TRIM(Raw_Data!C290)="","South",TRIM(Raw_Data!C290))</f>
        <v>West</v>
      </c>
      <c r="D290">
        <f>IF(TRIM(Raw_Data!D290)="",30435.80739,Raw_Data!D290)</f>
        <v>8223.6</v>
      </c>
      <c r="E290" t="str">
        <f>TEXT(Raw_Data!E290,"DD-MM-YYYY")</f>
        <v>06-06-2024</v>
      </c>
    </row>
    <row r="291" spans="1:5" x14ac:dyDescent="0.3">
      <c r="A291">
        <v>1289</v>
      </c>
      <c r="B291" t="str">
        <f>IF(TRIM(Raw_Data!B291)="","Unknown",PROPER(TRIM(Raw_Data!B291)))</f>
        <v>Monitor</v>
      </c>
      <c r="C291" t="str">
        <f>IF(TRIM(Raw_Data!C291)="","South",TRIM(Raw_Data!C291))</f>
        <v>West</v>
      </c>
      <c r="D291">
        <f>IF(TRIM(Raw_Data!D291)="",30435.80739,Raw_Data!D291)</f>
        <v>30435.807390000002</v>
      </c>
      <c r="E291" t="str">
        <f>TEXT(Raw_Data!E291,"DD-MM-YYYY")</f>
        <v>25-01-2024</v>
      </c>
    </row>
    <row r="292" spans="1:5" x14ac:dyDescent="0.3">
      <c r="A292">
        <v>1290</v>
      </c>
      <c r="B292" t="str">
        <f>IF(TRIM(Raw_Data!B292)="","Unknown",PROPER(TRIM(Raw_Data!B292)))</f>
        <v>Keyboard</v>
      </c>
      <c r="C292" t="str">
        <f>IF(TRIM(Raw_Data!C292)="","South",TRIM(Raw_Data!C292))</f>
        <v>East</v>
      </c>
      <c r="D292">
        <f>IF(TRIM(Raw_Data!D292)="",30435.80739,Raw_Data!D292)</f>
        <v>58433.99</v>
      </c>
      <c r="E292" t="str">
        <f>TEXT(Raw_Data!E292,"DD-MM-YYYY")</f>
        <v>21-09-2024</v>
      </c>
    </row>
    <row r="293" spans="1:5" x14ac:dyDescent="0.3">
      <c r="A293">
        <v>1291</v>
      </c>
      <c r="B293" t="str">
        <f>IF(TRIM(Raw_Data!B293)="","Unknown",PROPER(TRIM(Raw_Data!B293)))</f>
        <v>Laptop</v>
      </c>
      <c r="C293" t="str">
        <f>IF(TRIM(Raw_Data!C293)="","South",TRIM(Raw_Data!C293))</f>
        <v>East</v>
      </c>
      <c r="D293">
        <f>IF(TRIM(Raw_Data!D293)="",30435.80739,Raw_Data!D293)</f>
        <v>28096.65</v>
      </c>
      <c r="E293" t="str">
        <f>TEXT(Raw_Data!E293,"DD-MM-YYYY")</f>
        <v>31-07-2024</v>
      </c>
    </row>
    <row r="294" spans="1:5" x14ac:dyDescent="0.3">
      <c r="A294">
        <v>1292</v>
      </c>
      <c r="B294" t="str">
        <f>IF(TRIM(Raw_Data!B294)="","Unknown",PROPER(TRIM(Raw_Data!B294)))</f>
        <v>Tablet</v>
      </c>
      <c r="C294" t="str">
        <f>IF(TRIM(Raw_Data!C294)="","South",TRIM(Raw_Data!C294))</f>
        <v>East</v>
      </c>
      <c r="D294">
        <f>IF(TRIM(Raw_Data!D294)="",30435.80739,Raw_Data!D294)</f>
        <v>7663.65</v>
      </c>
      <c r="E294" t="str">
        <f>TEXT(Raw_Data!E294,"DD-MM-YYYY")</f>
        <v>05-08-2024</v>
      </c>
    </row>
    <row r="295" spans="1:5" x14ac:dyDescent="0.3">
      <c r="A295">
        <v>1293</v>
      </c>
      <c r="B295" t="str">
        <f>IF(TRIM(Raw_Data!B295)="","Unknown",PROPER(TRIM(Raw_Data!B295)))</f>
        <v>Laptop</v>
      </c>
      <c r="C295" t="str">
        <f>IF(TRIM(Raw_Data!C295)="","South",TRIM(Raw_Data!C295))</f>
        <v>North</v>
      </c>
      <c r="D295">
        <f>IF(TRIM(Raw_Data!D295)="",30435.80739,Raw_Data!D295)</f>
        <v>45180.75</v>
      </c>
      <c r="E295" t="str">
        <f>TEXT(Raw_Data!E295,"DD-MM-YYYY")</f>
        <v>05-10-2024</v>
      </c>
    </row>
    <row r="296" spans="1:5" x14ac:dyDescent="0.3">
      <c r="A296">
        <v>1294</v>
      </c>
      <c r="B296" t="str">
        <f>IF(TRIM(Raw_Data!B296)="","Unknown",PROPER(TRIM(Raw_Data!B296)))</f>
        <v>Monitor</v>
      </c>
      <c r="C296" t="str">
        <f>IF(TRIM(Raw_Data!C296)="","South",TRIM(Raw_Data!C296))</f>
        <v>North</v>
      </c>
      <c r="D296">
        <f>IF(TRIM(Raw_Data!D296)="",30435.80739,Raw_Data!D296)</f>
        <v>8449.6200000000008</v>
      </c>
      <c r="E296" t="str">
        <f>TEXT(Raw_Data!E296,"DD-MM-YYYY")</f>
        <v>28-09-2024</v>
      </c>
    </row>
    <row r="297" spans="1:5" x14ac:dyDescent="0.3">
      <c r="A297">
        <v>1295</v>
      </c>
      <c r="B297" t="str">
        <f>IF(TRIM(Raw_Data!B297)="","Unknown",PROPER(TRIM(Raw_Data!B297)))</f>
        <v>Unknown</v>
      </c>
      <c r="C297" t="str">
        <f>IF(TRIM(Raw_Data!C297)="","South",TRIM(Raw_Data!C297))</f>
        <v>North</v>
      </c>
      <c r="D297">
        <f>IF(TRIM(Raw_Data!D297)="",30435.80739,Raw_Data!D297)</f>
        <v>39661.660000000003</v>
      </c>
      <c r="E297" t="str">
        <f>TEXT(Raw_Data!E297,"DD-MM-YYYY")</f>
        <v>01-01-2024</v>
      </c>
    </row>
    <row r="298" spans="1:5" x14ac:dyDescent="0.3">
      <c r="A298">
        <v>1296</v>
      </c>
      <c r="B298" t="str">
        <f>IF(TRIM(Raw_Data!B298)="","Unknown",PROPER(TRIM(Raw_Data!B298)))</f>
        <v>Tablet</v>
      </c>
      <c r="C298" t="str">
        <f>IF(TRIM(Raw_Data!C298)="","South",TRIM(Raw_Data!C298))</f>
        <v>East</v>
      </c>
      <c r="D298">
        <f>IF(TRIM(Raw_Data!D298)="",30435.80739,Raw_Data!D298)</f>
        <v>13546.02</v>
      </c>
      <c r="E298" t="str">
        <f>TEXT(Raw_Data!E298,"DD-MM-YYYY")</f>
        <v>14-08-2024</v>
      </c>
    </row>
    <row r="299" spans="1:5" x14ac:dyDescent="0.3">
      <c r="A299">
        <v>1297</v>
      </c>
      <c r="B299" t="str">
        <f>IF(TRIM(Raw_Data!B299)="","Unknown",PROPER(TRIM(Raw_Data!B299)))</f>
        <v>Laptop</v>
      </c>
      <c r="C299" t="str">
        <f>IF(TRIM(Raw_Data!C299)="","South",TRIM(Raw_Data!C299))</f>
        <v>West</v>
      </c>
      <c r="D299">
        <f>IF(TRIM(Raw_Data!D299)="",30435.80739,Raw_Data!D299)</f>
        <v>4486.54</v>
      </c>
      <c r="E299" t="str">
        <f>TEXT(Raw_Data!E299,"DD-MM-YYYY")</f>
        <v>25-07-2024</v>
      </c>
    </row>
    <row r="300" spans="1:5" x14ac:dyDescent="0.3">
      <c r="A300">
        <v>1298</v>
      </c>
      <c r="B300" t="str">
        <f>IF(TRIM(Raw_Data!B300)="","Unknown",PROPER(TRIM(Raw_Data!B300)))</f>
        <v>Monitor</v>
      </c>
      <c r="C300" t="str">
        <f>IF(TRIM(Raw_Data!C300)="","South",TRIM(Raw_Data!C300))</f>
        <v>East</v>
      </c>
      <c r="D300">
        <f>IF(TRIM(Raw_Data!D300)="",30435.80739,Raw_Data!D300)</f>
        <v>27376.28</v>
      </c>
      <c r="E300" t="str">
        <f>TEXT(Raw_Data!E300,"DD-MM-YYYY")</f>
        <v>07-02-2024</v>
      </c>
    </row>
    <row r="301" spans="1:5" x14ac:dyDescent="0.3">
      <c r="A301">
        <v>1299</v>
      </c>
      <c r="B301" t="str">
        <f>IF(TRIM(Raw_Data!B301)="","Unknown",PROPER(TRIM(Raw_Data!B301)))</f>
        <v>Monitor</v>
      </c>
      <c r="C301" t="str">
        <f>IF(TRIM(Raw_Data!C301)="","South",TRIM(Raw_Data!C301))</f>
        <v>West</v>
      </c>
      <c r="D301">
        <f>IF(TRIM(Raw_Data!D301)="",30435.80739,Raw_Data!D301)</f>
        <v>29265.13</v>
      </c>
      <c r="E301" t="str">
        <f>TEXT(Raw_Data!E301,"DD-MM-YYYY")</f>
        <v>07-10-2024</v>
      </c>
    </row>
    <row r="302" spans="1:5" x14ac:dyDescent="0.3">
      <c r="A302">
        <v>1300</v>
      </c>
      <c r="B302" t="str">
        <f>IF(TRIM(Raw_Data!B302)="","Unknown",PROPER(TRIM(Raw_Data!B302)))</f>
        <v>Tablet</v>
      </c>
      <c r="C302" t="str">
        <f>IF(TRIM(Raw_Data!C302)="","South",TRIM(Raw_Data!C302))</f>
        <v>South</v>
      </c>
      <c r="D302">
        <f>IF(TRIM(Raw_Data!D302)="",30435.80739,Raw_Data!D302)</f>
        <v>49736.3</v>
      </c>
      <c r="E302" t="str">
        <f>TEXT(Raw_Data!E302,"DD-MM-YYYY")</f>
        <v>01-10-2024</v>
      </c>
    </row>
    <row r="303" spans="1:5" x14ac:dyDescent="0.3">
      <c r="A303">
        <v>1301</v>
      </c>
      <c r="B303" t="str">
        <f>IF(TRIM(Raw_Data!B303)="","Unknown",PROPER(TRIM(Raw_Data!B303)))</f>
        <v>Mouse</v>
      </c>
      <c r="C303" t="str">
        <f>IF(TRIM(Raw_Data!C303)="","South",TRIM(Raw_Data!C303))</f>
        <v>West</v>
      </c>
      <c r="D303">
        <f>IF(TRIM(Raw_Data!D303)="",30435.80739,Raw_Data!D303)</f>
        <v>17609.75</v>
      </c>
      <c r="E303" t="str">
        <f>TEXT(Raw_Data!E303,"DD-MM-YYYY")</f>
        <v>29-04-2024</v>
      </c>
    </row>
    <row r="304" spans="1:5" x14ac:dyDescent="0.3">
      <c r="A304">
        <v>1302</v>
      </c>
      <c r="B304" t="str">
        <f>IF(TRIM(Raw_Data!B304)="","Unknown",PROPER(TRIM(Raw_Data!B304)))</f>
        <v>Laptop</v>
      </c>
      <c r="C304" t="str">
        <f>IF(TRIM(Raw_Data!C304)="","South",TRIM(Raw_Data!C304))</f>
        <v>South</v>
      </c>
      <c r="D304">
        <f>IF(TRIM(Raw_Data!D304)="",30435.80739,Raw_Data!D304)</f>
        <v>18774.650000000001</v>
      </c>
      <c r="E304" t="str">
        <f>TEXT(Raw_Data!E304,"DD-MM-YYYY")</f>
        <v>21-07-2024</v>
      </c>
    </row>
    <row r="305" spans="1:5" x14ac:dyDescent="0.3">
      <c r="A305">
        <v>1303</v>
      </c>
      <c r="B305" t="str">
        <f>IF(TRIM(Raw_Data!B305)="","Unknown",PROPER(TRIM(Raw_Data!B305)))</f>
        <v>Laptop</v>
      </c>
      <c r="C305" t="str">
        <f>IF(TRIM(Raw_Data!C305)="","South",TRIM(Raw_Data!C305))</f>
        <v>South</v>
      </c>
      <c r="D305">
        <f>IF(TRIM(Raw_Data!D305)="",30435.80739,Raw_Data!D305)</f>
        <v>52757.13</v>
      </c>
      <c r="E305" t="str">
        <f>TEXT(Raw_Data!E305,"DD-MM-YYYY")</f>
        <v>02-01-2024</v>
      </c>
    </row>
    <row r="306" spans="1:5" x14ac:dyDescent="0.3">
      <c r="A306">
        <v>1304</v>
      </c>
      <c r="B306" t="str">
        <f>IF(TRIM(Raw_Data!B306)="","Unknown",PROPER(TRIM(Raw_Data!B306)))</f>
        <v>Mouse</v>
      </c>
      <c r="C306" t="str">
        <f>IF(TRIM(Raw_Data!C306)="","South",TRIM(Raw_Data!C306))</f>
        <v>West</v>
      </c>
      <c r="D306">
        <f>IF(TRIM(Raw_Data!D306)="",30435.80739,Raw_Data!D306)</f>
        <v>47880.12</v>
      </c>
      <c r="E306" t="str">
        <f>TEXT(Raw_Data!E306,"DD-MM-YYYY")</f>
        <v>06-06-2024</v>
      </c>
    </row>
    <row r="307" spans="1:5" x14ac:dyDescent="0.3">
      <c r="A307">
        <v>1305</v>
      </c>
      <c r="B307" t="str">
        <f>IF(TRIM(Raw_Data!B307)="","Unknown",PROPER(TRIM(Raw_Data!B307)))</f>
        <v>Mouse</v>
      </c>
      <c r="C307" t="str">
        <f>IF(TRIM(Raw_Data!C307)="","South",TRIM(Raw_Data!C307))</f>
        <v>East</v>
      </c>
      <c r="D307">
        <f>IF(TRIM(Raw_Data!D307)="",30435.80739,Raw_Data!D307)</f>
        <v>13993.29</v>
      </c>
      <c r="E307" t="str">
        <f>TEXT(Raw_Data!E307,"DD-MM-YYYY")</f>
        <v>20-06-2024</v>
      </c>
    </row>
    <row r="308" spans="1:5" x14ac:dyDescent="0.3">
      <c r="A308">
        <v>1306</v>
      </c>
      <c r="B308" t="str">
        <f>IF(TRIM(Raw_Data!B308)="","Unknown",PROPER(TRIM(Raw_Data!B308)))</f>
        <v>Monitor</v>
      </c>
      <c r="C308" t="str">
        <f>IF(TRIM(Raw_Data!C308)="","South",TRIM(Raw_Data!C308))</f>
        <v>West</v>
      </c>
      <c r="D308">
        <f>IF(TRIM(Raw_Data!D308)="",30435.80739,Raw_Data!D308)</f>
        <v>52859.76</v>
      </c>
      <c r="E308" t="str">
        <f>TEXT(Raw_Data!E308,"DD-MM-YYYY")</f>
        <v>05-03-2024</v>
      </c>
    </row>
    <row r="309" spans="1:5" x14ac:dyDescent="0.3">
      <c r="A309">
        <v>1307</v>
      </c>
      <c r="B309" t="str">
        <f>IF(TRIM(Raw_Data!B309)="","Unknown",PROPER(TRIM(Raw_Data!B309)))</f>
        <v>Mouse</v>
      </c>
      <c r="C309" t="str">
        <f>IF(TRIM(Raw_Data!C309)="","South",TRIM(Raw_Data!C309))</f>
        <v>South</v>
      </c>
      <c r="D309">
        <f>IF(TRIM(Raw_Data!D309)="",30435.80739,Raw_Data!D309)</f>
        <v>9113.9</v>
      </c>
      <c r="E309" t="str">
        <f>TEXT(Raw_Data!E309,"DD-MM-YYYY")</f>
        <v>26-05-2024</v>
      </c>
    </row>
    <row r="310" spans="1:5" x14ac:dyDescent="0.3">
      <c r="A310">
        <v>1308</v>
      </c>
      <c r="B310" t="str">
        <f>IF(TRIM(Raw_Data!B310)="","Unknown",PROPER(TRIM(Raw_Data!B310)))</f>
        <v>Mouse</v>
      </c>
      <c r="C310" t="str">
        <f>IF(TRIM(Raw_Data!C310)="","South",TRIM(Raw_Data!C310))</f>
        <v>West</v>
      </c>
      <c r="D310">
        <f>IF(TRIM(Raw_Data!D310)="",30435.80739,Raw_Data!D310)</f>
        <v>15008.57</v>
      </c>
      <c r="E310" t="str">
        <f>TEXT(Raw_Data!E310,"DD-MM-YYYY")</f>
        <v>13-12-2024</v>
      </c>
    </row>
    <row r="311" spans="1:5" x14ac:dyDescent="0.3">
      <c r="A311">
        <v>1309</v>
      </c>
      <c r="B311" t="str">
        <f>IF(TRIM(Raw_Data!B311)="","Unknown",PROPER(TRIM(Raw_Data!B311)))</f>
        <v>Laptop</v>
      </c>
      <c r="C311" t="str">
        <f>IF(TRIM(Raw_Data!C311)="","South",TRIM(Raw_Data!C311))</f>
        <v>West</v>
      </c>
      <c r="D311">
        <f>IF(TRIM(Raw_Data!D311)="",30435.80739,Raw_Data!D311)</f>
        <v>36438.410000000003</v>
      </c>
      <c r="E311" t="str">
        <f>TEXT(Raw_Data!E311,"DD-MM-YYYY")</f>
        <v>26-12-2024</v>
      </c>
    </row>
    <row r="312" spans="1:5" x14ac:dyDescent="0.3">
      <c r="A312">
        <v>1310</v>
      </c>
      <c r="B312" t="str">
        <f>IF(TRIM(Raw_Data!B312)="","Unknown",PROPER(TRIM(Raw_Data!B312)))</f>
        <v>Tablet</v>
      </c>
      <c r="C312" t="str">
        <f>IF(TRIM(Raw_Data!C312)="","South",TRIM(Raw_Data!C312))</f>
        <v>North</v>
      </c>
      <c r="D312">
        <f>IF(TRIM(Raw_Data!D312)="",30435.80739,Raw_Data!D312)</f>
        <v>3693.28</v>
      </c>
      <c r="E312" t="str">
        <f>TEXT(Raw_Data!E312,"DD-MM-YYYY")</f>
        <v>15-05-2024</v>
      </c>
    </row>
    <row r="313" spans="1:5" x14ac:dyDescent="0.3">
      <c r="A313">
        <v>1311</v>
      </c>
      <c r="B313" t="str">
        <f>IF(TRIM(Raw_Data!B313)="","Unknown",PROPER(TRIM(Raw_Data!B313)))</f>
        <v>Keyboard</v>
      </c>
      <c r="C313" t="str">
        <f>IF(TRIM(Raw_Data!C313)="","South",TRIM(Raw_Data!C313))</f>
        <v>East</v>
      </c>
      <c r="D313">
        <f>IF(TRIM(Raw_Data!D313)="",30435.80739,Raw_Data!D313)</f>
        <v>28714.880000000001</v>
      </c>
      <c r="E313" t="str">
        <f>TEXT(Raw_Data!E313,"DD-MM-YYYY")</f>
        <v>24-08-2024</v>
      </c>
    </row>
    <row r="314" spans="1:5" x14ac:dyDescent="0.3">
      <c r="A314">
        <v>1312</v>
      </c>
      <c r="B314" t="str">
        <f>IF(TRIM(Raw_Data!B314)="","Unknown",PROPER(TRIM(Raw_Data!B314)))</f>
        <v>Laptop</v>
      </c>
      <c r="C314" t="str">
        <f>IF(TRIM(Raw_Data!C314)="","South",TRIM(Raw_Data!C314))</f>
        <v>South</v>
      </c>
      <c r="D314">
        <f>IF(TRIM(Raw_Data!D314)="",30435.80739,Raw_Data!D314)</f>
        <v>50791.55</v>
      </c>
      <c r="E314" t="str">
        <f>TEXT(Raw_Data!E314,"DD-MM-YYYY")</f>
        <v>18-12-2024</v>
      </c>
    </row>
    <row r="315" spans="1:5" x14ac:dyDescent="0.3">
      <c r="A315">
        <v>1313</v>
      </c>
      <c r="B315" t="str">
        <f>IF(TRIM(Raw_Data!B315)="","Unknown",PROPER(TRIM(Raw_Data!B315)))</f>
        <v>Keyboard</v>
      </c>
      <c r="C315" t="str">
        <f>IF(TRIM(Raw_Data!C315)="","South",TRIM(Raw_Data!C315))</f>
        <v>South</v>
      </c>
      <c r="D315">
        <f>IF(TRIM(Raw_Data!D315)="",30435.80739,Raw_Data!D315)</f>
        <v>24423.89</v>
      </c>
      <c r="E315" t="str">
        <f>TEXT(Raw_Data!E315,"DD-MM-YYYY")</f>
        <v>06-02-2024</v>
      </c>
    </row>
    <row r="316" spans="1:5" x14ac:dyDescent="0.3">
      <c r="A316">
        <v>1314</v>
      </c>
      <c r="B316" t="str">
        <f>IF(TRIM(Raw_Data!B316)="","Unknown",PROPER(TRIM(Raw_Data!B316)))</f>
        <v>Laptop</v>
      </c>
      <c r="C316" t="str">
        <f>IF(TRIM(Raw_Data!C316)="","South",TRIM(Raw_Data!C316))</f>
        <v>North</v>
      </c>
      <c r="D316">
        <f>IF(TRIM(Raw_Data!D316)="",30435.80739,Raw_Data!D316)</f>
        <v>2750.43</v>
      </c>
      <c r="E316" t="str">
        <f>TEXT(Raw_Data!E316,"DD-MM-YYYY")</f>
        <v>10-07-2024</v>
      </c>
    </row>
    <row r="317" spans="1:5" x14ac:dyDescent="0.3">
      <c r="A317">
        <v>1315</v>
      </c>
      <c r="B317" t="str">
        <f>IF(TRIM(Raw_Data!B317)="","Unknown",PROPER(TRIM(Raw_Data!B317)))</f>
        <v>Monitor</v>
      </c>
      <c r="C317" t="str">
        <f>IF(TRIM(Raw_Data!C317)="","South",TRIM(Raw_Data!C317))</f>
        <v>East</v>
      </c>
      <c r="D317">
        <f>IF(TRIM(Raw_Data!D317)="",30435.80739,Raw_Data!D317)</f>
        <v>25250.240000000002</v>
      </c>
      <c r="E317" t="str">
        <f>TEXT(Raw_Data!E317,"DD-MM-YYYY")</f>
        <v>18-04-2024</v>
      </c>
    </row>
    <row r="318" spans="1:5" x14ac:dyDescent="0.3">
      <c r="A318">
        <v>1316</v>
      </c>
      <c r="B318" t="str">
        <f>IF(TRIM(Raw_Data!B318)="","Unknown",PROPER(TRIM(Raw_Data!B318)))</f>
        <v>Tablet</v>
      </c>
      <c r="C318" t="str">
        <f>IF(TRIM(Raw_Data!C318)="","South",TRIM(Raw_Data!C318))</f>
        <v>East</v>
      </c>
      <c r="D318">
        <f>IF(TRIM(Raw_Data!D318)="",30435.80739,Raw_Data!D318)</f>
        <v>30435.807390000002</v>
      </c>
      <c r="E318" t="str">
        <f>TEXT(Raw_Data!E318,"DD-MM-YYYY")</f>
        <v>12-12-2024</v>
      </c>
    </row>
    <row r="319" spans="1:5" x14ac:dyDescent="0.3">
      <c r="A319">
        <v>1317</v>
      </c>
      <c r="B319" t="str">
        <f>IF(TRIM(Raw_Data!B319)="","Unknown",PROPER(TRIM(Raw_Data!B319)))</f>
        <v>Tablet</v>
      </c>
      <c r="C319" t="str">
        <f>IF(TRIM(Raw_Data!C319)="","South",TRIM(Raw_Data!C319))</f>
        <v>South</v>
      </c>
      <c r="D319">
        <f>IF(TRIM(Raw_Data!D319)="",30435.80739,Raw_Data!D319)</f>
        <v>16144.96</v>
      </c>
      <c r="E319" t="str">
        <f>TEXT(Raw_Data!E319,"DD-MM-YYYY")</f>
        <v>19-11-2024</v>
      </c>
    </row>
    <row r="320" spans="1:5" x14ac:dyDescent="0.3">
      <c r="A320">
        <v>1318</v>
      </c>
      <c r="B320" t="str">
        <f>IF(TRIM(Raw_Data!B320)="","Unknown",PROPER(TRIM(Raw_Data!B320)))</f>
        <v>Keyboard</v>
      </c>
      <c r="C320" t="str">
        <f>IF(TRIM(Raw_Data!C320)="","South",TRIM(Raw_Data!C320))</f>
        <v>North</v>
      </c>
      <c r="D320">
        <f>IF(TRIM(Raw_Data!D320)="",30435.80739,Raw_Data!D320)</f>
        <v>5189.45</v>
      </c>
      <c r="E320" t="str">
        <f>TEXT(Raw_Data!E320,"DD-MM-YYYY")</f>
        <v>30-08-2024</v>
      </c>
    </row>
    <row r="321" spans="1:5" x14ac:dyDescent="0.3">
      <c r="A321">
        <v>1319</v>
      </c>
      <c r="B321" t="str">
        <f>IF(TRIM(Raw_Data!B321)="","Unknown",PROPER(TRIM(Raw_Data!B321)))</f>
        <v>Keyboard</v>
      </c>
      <c r="C321" t="str">
        <f>IF(TRIM(Raw_Data!C321)="","South",TRIM(Raw_Data!C321))</f>
        <v>South</v>
      </c>
      <c r="D321">
        <f>IF(TRIM(Raw_Data!D321)="",30435.80739,Raw_Data!D321)</f>
        <v>1597.74</v>
      </c>
      <c r="E321" t="str">
        <f>TEXT(Raw_Data!E321,"DD-MM-YYYY")</f>
        <v>28-07-2024</v>
      </c>
    </row>
    <row r="322" spans="1:5" x14ac:dyDescent="0.3">
      <c r="A322">
        <v>1320</v>
      </c>
      <c r="B322" t="str">
        <f>IF(TRIM(Raw_Data!B322)="","Unknown",PROPER(TRIM(Raw_Data!B322)))</f>
        <v>Keyboard</v>
      </c>
      <c r="C322" t="str">
        <f>IF(TRIM(Raw_Data!C322)="","South",TRIM(Raw_Data!C322))</f>
        <v>East</v>
      </c>
      <c r="D322">
        <f>IF(TRIM(Raw_Data!D322)="",30435.80739,Raw_Data!D322)</f>
        <v>44717.89</v>
      </c>
      <c r="E322" t="str">
        <f>TEXT(Raw_Data!E322,"DD-MM-YYYY")</f>
        <v>02-04-2024</v>
      </c>
    </row>
    <row r="323" spans="1:5" x14ac:dyDescent="0.3">
      <c r="A323">
        <v>1321</v>
      </c>
      <c r="B323" t="str">
        <f>IF(TRIM(Raw_Data!B323)="","Unknown",PROPER(TRIM(Raw_Data!B323)))</f>
        <v>Monitor</v>
      </c>
      <c r="C323" t="str">
        <f>IF(TRIM(Raw_Data!C323)="","South",TRIM(Raw_Data!C323))</f>
        <v>South</v>
      </c>
      <c r="D323">
        <f>IF(TRIM(Raw_Data!D323)="",30435.80739,Raw_Data!D323)</f>
        <v>18407.400000000001</v>
      </c>
      <c r="E323" t="str">
        <f>TEXT(Raw_Data!E323,"DD-MM-YYYY")</f>
        <v>16-11-2024</v>
      </c>
    </row>
    <row r="324" spans="1:5" x14ac:dyDescent="0.3">
      <c r="A324">
        <v>1322</v>
      </c>
      <c r="B324" t="str">
        <f>IF(TRIM(Raw_Data!B324)="","Unknown",PROPER(TRIM(Raw_Data!B324)))</f>
        <v>Monitor</v>
      </c>
      <c r="C324" t="str">
        <f>IF(TRIM(Raw_Data!C324)="","South",TRIM(Raw_Data!C324))</f>
        <v>East</v>
      </c>
      <c r="D324">
        <f>IF(TRIM(Raw_Data!D324)="",30435.80739,Raw_Data!D324)</f>
        <v>28529.86</v>
      </c>
      <c r="E324" t="str">
        <f>TEXT(Raw_Data!E324,"DD-MM-YYYY")</f>
        <v>20-10-2024</v>
      </c>
    </row>
    <row r="325" spans="1:5" x14ac:dyDescent="0.3">
      <c r="A325">
        <v>1323</v>
      </c>
      <c r="B325" t="str">
        <f>IF(TRIM(Raw_Data!B325)="","Unknown",PROPER(TRIM(Raw_Data!B325)))</f>
        <v>Tablet</v>
      </c>
      <c r="C325" t="str">
        <f>IF(TRIM(Raw_Data!C325)="","South",TRIM(Raw_Data!C325))</f>
        <v>North</v>
      </c>
      <c r="D325">
        <f>IF(TRIM(Raw_Data!D325)="",30435.80739,Raw_Data!D325)</f>
        <v>47550.12</v>
      </c>
      <c r="E325" t="str">
        <f>TEXT(Raw_Data!E325,"DD-MM-YYYY")</f>
        <v>06-07-2024</v>
      </c>
    </row>
    <row r="326" spans="1:5" x14ac:dyDescent="0.3">
      <c r="A326">
        <v>1324</v>
      </c>
      <c r="B326" t="str">
        <f>IF(TRIM(Raw_Data!B326)="","Unknown",PROPER(TRIM(Raw_Data!B326)))</f>
        <v>Keyboard</v>
      </c>
      <c r="C326" t="str">
        <f>IF(TRIM(Raw_Data!C326)="","South",TRIM(Raw_Data!C326))</f>
        <v>North</v>
      </c>
      <c r="D326">
        <f>IF(TRIM(Raw_Data!D326)="",30435.80739,Raw_Data!D326)</f>
        <v>6833.54</v>
      </c>
      <c r="E326" t="str">
        <f>TEXT(Raw_Data!E326,"DD-MM-YYYY")</f>
        <v>15-03-2024</v>
      </c>
    </row>
    <row r="327" spans="1:5" x14ac:dyDescent="0.3">
      <c r="A327">
        <v>1325</v>
      </c>
      <c r="B327" t="str">
        <f>IF(TRIM(Raw_Data!B327)="","Unknown",PROPER(TRIM(Raw_Data!B327)))</f>
        <v>Keyboard</v>
      </c>
      <c r="C327" t="str">
        <f>IF(TRIM(Raw_Data!C327)="","South",TRIM(Raw_Data!C327))</f>
        <v>East</v>
      </c>
      <c r="D327">
        <f>IF(TRIM(Raw_Data!D327)="",30435.80739,Raw_Data!D327)</f>
        <v>10844.75</v>
      </c>
      <c r="E327" t="str">
        <f>TEXT(Raw_Data!E327,"DD-MM-YYYY")</f>
        <v>07-01-2024</v>
      </c>
    </row>
    <row r="328" spans="1:5" x14ac:dyDescent="0.3">
      <c r="A328">
        <v>1326</v>
      </c>
      <c r="B328" t="str">
        <f>IF(TRIM(Raw_Data!B328)="","Unknown",PROPER(TRIM(Raw_Data!B328)))</f>
        <v>Monitor</v>
      </c>
      <c r="C328" t="str">
        <f>IF(TRIM(Raw_Data!C328)="","South",TRIM(Raw_Data!C328))</f>
        <v>North</v>
      </c>
      <c r="D328">
        <f>IF(TRIM(Raw_Data!D328)="",30435.80739,Raw_Data!D328)</f>
        <v>30435.807390000002</v>
      </c>
      <c r="E328" t="str">
        <f>TEXT(Raw_Data!E328,"DD-MM-YYYY")</f>
        <v>05-05-2024</v>
      </c>
    </row>
    <row r="329" spans="1:5" x14ac:dyDescent="0.3">
      <c r="A329">
        <v>1327</v>
      </c>
      <c r="B329" t="str">
        <f>IF(TRIM(Raw_Data!B329)="","Unknown",PROPER(TRIM(Raw_Data!B329)))</f>
        <v>Keyboard</v>
      </c>
      <c r="C329" t="str">
        <f>IF(TRIM(Raw_Data!C329)="","South",TRIM(Raw_Data!C329))</f>
        <v>North</v>
      </c>
      <c r="D329">
        <f>IF(TRIM(Raw_Data!D329)="",30435.80739,Raw_Data!D329)</f>
        <v>34021.620000000003</v>
      </c>
      <c r="E329" t="str">
        <f>TEXT(Raw_Data!E329,"DD-MM-YYYY")</f>
        <v>31-01-2024</v>
      </c>
    </row>
    <row r="330" spans="1:5" x14ac:dyDescent="0.3">
      <c r="A330">
        <v>1328</v>
      </c>
      <c r="B330" t="str">
        <f>IF(TRIM(Raw_Data!B330)="","Unknown",PROPER(TRIM(Raw_Data!B330)))</f>
        <v>Unknown</v>
      </c>
      <c r="C330" t="str">
        <f>IF(TRIM(Raw_Data!C330)="","South",TRIM(Raw_Data!C330))</f>
        <v>North</v>
      </c>
      <c r="D330">
        <f>IF(TRIM(Raw_Data!D330)="",30435.80739,Raw_Data!D330)</f>
        <v>23668.2</v>
      </c>
      <c r="E330" t="str">
        <f>TEXT(Raw_Data!E330,"DD-MM-YYYY")</f>
        <v>03-06-2024</v>
      </c>
    </row>
    <row r="331" spans="1:5" x14ac:dyDescent="0.3">
      <c r="A331">
        <v>1329</v>
      </c>
      <c r="B331" t="str">
        <f>IF(TRIM(Raw_Data!B331)="","Unknown",PROPER(TRIM(Raw_Data!B331)))</f>
        <v>Tablet</v>
      </c>
      <c r="C331" t="str">
        <f>IF(TRIM(Raw_Data!C331)="","South",TRIM(Raw_Data!C331))</f>
        <v>North</v>
      </c>
      <c r="D331">
        <f>IF(TRIM(Raw_Data!D331)="",30435.80739,Raw_Data!D331)</f>
        <v>9676.65</v>
      </c>
      <c r="E331" t="str">
        <f>TEXT(Raw_Data!E331,"DD-MM-YYYY")</f>
        <v>01-09-2024</v>
      </c>
    </row>
    <row r="332" spans="1:5" x14ac:dyDescent="0.3">
      <c r="A332">
        <v>1330</v>
      </c>
      <c r="B332" t="str">
        <f>IF(TRIM(Raw_Data!B332)="","Unknown",PROPER(TRIM(Raw_Data!B332)))</f>
        <v>Keyboard</v>
      </c>
      <c r="C332" t="str">
        <f>IF(TRIM(Raw_Data!C332)="","South",TRIM(Raw_Data!C332))</f>
        <v>East</v>
      </c>
      <c r="D332">
        <f>IF(TRIM(Raw_Data!D332)="",30435.80739,Raw_Data!D332)</f>
        <v>53415.82</v>
      </c>
      <c r="E332" t="str">
        <f>TEXT(Raw_Data!E332,"DD-MM-YYYY")</f>
        <v>14-07-2024</v>
      </c>
    </row>
    <row r="333" spans="1:5" x14ac:dyDescent="0.3">
      <c r="A333">
        <v>1331</v>
      </c>
      <c r="B333" t="str">
        <f>IF(TRIM(Raw_Data!B333)="","Unknown",PROPER(TRIM(Raw_Data!B333)))</f>
        <v>Mouse</v>
      </c>
      <c r="C333" t="str">
        <f>IF(TRIM(Raw_Data!C333)="","South",TRIM(Raw_Data!C333))</f>
        <v>East</v>
      </c>
      <c r="D333">
        <f>IF(TRIM(Raw_Data!D333)="",30435.80739,Raw_Data!D333)</f>
        <v>30435.807390000002</v>
      </c>
      <c r="E333" t="str">
        <f>TEXT(Raw_Data!E333,"DD-MM-YYYY")</f>
        <v>11-08-2024</v>
      </c>
    </row>
    <row r="334" spans="1:5" x14ac:dyDescent="0.3">
      <c r="A334">
        <v>1332</v>
      </c>
      <c r="B334" t="str">
        <f>IF(TRIM(Raw_Data!B334)="","Unknown",PROPER(TRIM(Raw_Data!B334)))</f>
        <v>Monitor</v>
      </c>
      <c r="C334" t="str">
        <f>IF(TRIM(Raw_Data!C334)="","South",TRIM(Raw_Data!C334))</f>
        <v>South</v>
      </c>
      <c r="D334">
        <f>IF(TRIM(Raw_Data!D334)="",30435.80739,Raw_Data!D334)</f>
        <v>50185.35</v>
      </c>
      <c r="E334" t="str">
        <f>TEXT(Raw_Data!E334,"DD-MM-YYYY")</f>
        <v>11-02-2024</v>
      </c>
    </row>
    <row r="335" spans="1:5" x14ac:dyDescent="0.3">
      <c r="A335">
        <v>1333</v>
      </c>
      <c r="B335" t="str">
        <f>IF(TRIM(Raw_Data!B335)="","Unknown",PROPER(TRIM(Raw_Data!B335)))</f>
        <v>Keyboard</v>
      </c>
      <c r="C335" t="str">
        <f>IF(TRIM(Raw_Data!C335)="","South",TRIM(Raw_Data!C335))</f>
        <v>West</v>
      </c>
      <c r="D335">
        <f>IF(TRIM(Raw_Data!D335)="",30435.80739,Raw_Data!D335)</f>
        <v>50010.62</v>
      </c>
      <c r="E335" t="str">
        <f>TEXT(Raw_Data!E335,"DD-MM-YYYY")</f>
        <v>19-11-2024</v>
      </c>
    </row>
    <row r="336" spans="1:5" x14ac:dyDescent="0.3">
      <c r="A336">
        <v>1334</v>
      </c>
      <c r="B336" t="str">
        <f>IF(TRIM(Raw_Data!B336)="","Unknown",PROPER(TRIM(Raw_Data!B336)))</f>
        <v>Laptop</v>
      </c>
      <c r="C336" t="str">
        <f>IF(TRIM(Raw_Data!C336)="","South",TRIM(Raw_Data!C336))</f>
        <v>North</v>
      </c>
      <c r="D336">
        <f>IF(TRIM(Raw_Data!D336)="",30435.80739,Raw_Data!D336)</f>
        <v>24704.95</v>
      </c>
      <c r="E336" t="str">
        <f>TEXT(Raw_Data!E336,"DD-MM-YYYY")</f>
        <v>29-09-2024</v>
      </c>
    </row>
    <row r="337" spans="1:5" x14ac:dyDescent="0.3">
      <c r="A337">
        <v>1335</v>
      </c>
      <c r="B337" t="str">
        <f>IF(TRIM(Raw_Data!B337)="","Unknown",PROPER(TRIM(Raw_Data!B337)))</f>
        <v>Tablet</v>
      </c>
      <c r="C337" t="str">
        <f>IF(TRIM(Raw_Data!C337)="","South",TRIM(Raw_Data!C337))</f>
        <v>South</v>
      </c>
      <c r="D337">
        <f>IF(TRIM(Raw_Data!D337)="",30435.80739,Raw_Data!D337)</f>
        <v>9731.06</v>
      </c>
      <c r="E337" t="str">
        <f>TEXT(Raw_Data!E337,"DD-MM-YYYY")</f>
        <v>05-01-2024</v>
      </c>
    </row>
    <row r="338" spans="1:5" x14ac:dyDescent="0.3">
      <c r="A338">
        <v>1336</v>
      </c>
      <c r="B338" t="str">
        <f>IF(TRIM(Raw_Data!B338)="","Unknown",PROPER(TRIM(Raw_Data!B338)))</f>
        <v>Mouse</v>
      </c>
      <c r="C338" t="str">
        <f>IF(TRIM(Raw_Data!C338)="","South",TRIM(Raw_Data!C338))</f>
        <v>North</v>
      </c>
      <c r="D338">
        <f>IF(TRIM(Raw_Data!D338)="",30435.80739,Raw_Data!D338)</f>
        <v>32469.81</v>
      </c>
      <c r="E338" t="str">
        <f>TEXT(Raw_Data!E338,"DD-MM-YYYY")</f>
        <v>19-05-2024</v>
      </c>
    </row>
    <row r="339" spans="1:5" x14ac:dyDescent="0.3">
      <c r="A339">
        <v>1337</v>
      </c>
      <c r="B339" t="str">
        <f>IF(TRIM(Raw_Data!B339)="","Unknown",PROPER(TRIM(Raw_Data!B339)))</f>
        <v>Monitor</v>
      </c>
      <c r="C339" t="str">
        <f>IF(TRIM(Raw_Data!C339)="","South",TRIM(Raw_Data!C339))</f>
        <v>South</v>
      </c>
      <c r="D339">
        <f>IF(TRIM(Raw_Data!D339)="",30435.80739,Raw_Data!D339)</f>
        <v>28540.14</v>
      </c>
      <c r="E339" t="str">
        <f>TEXT(Raw_Data!E339,"DD-MM-YYYY")</f>
        <v>12-01-2024</v>
      </c>
    </row>
    <row r="340" spans="1:5" x14ac:dyDescent="0.3">
      <c r="A340">
        <v>1338</v>
      </c>
      <c r="B340" t="str">
        <f>IF(TRIM(Raw_Data!B340)="","Unknown",PROPER(TRIM(Raw_Data!B340)))</f>
        <v>Keyboard</v>
      </c>
      <c r="C340" t="str">
        <f>IF(TRIM(Raw_Data!C340)="","South",TRIM(Raw_Data!C340))</f>
        <v>South</v>
      </c>
      <c r="D340">
        <f>IF(TRIM(Raw_Data!D340)="",30435.80739,Raw_Data!D340)</f>
        <v>18844.400000000001</v>
      </c>
      <c r="E340" t="str">
        <f>TEXT(Raw_Data!E340,"DD-MM-YYYY")</f>
        <v>15-08-2024</v>
      </c>
    </row>
    <row r="341" spans="1:5" x14ac:dyDescent="0.3">
      <c r="A341">
        <v>1339</v>
      </c>
      <c r="B341" t="str">
        <f>IF(TRIM(Raw_Data!B341)="","Unknown",PROPER(TRIM(Raw_Data!B341)))</f>
        <v>Monitor</v>
      </c>
      <c r="C341" t="str">
        <f>IF(TRIM(Raw_Data!C341)="","South",TRIM(Raw_Data!C341))</f>
        <v>South</v>
      </c>
      <c r="D341">
        <f>IF(TRIM(Raw_Data!D341)="",30435.80739,Raw_Data!D341)</f>
        <v>30047.200000000001</v>
      </c>
      <c r="E341" t="str">
        <f>TEXT(Raw_Data!E341,"DD-MM-YYYY")</f>
        <v>29-08-2024</v>
      </c>
    </row>
    <row r="342" spans="1:5" x14ac:dyDescent="0.3">
      <c r="A342">
        <v>1340</v>
      </c>
      <c r="B342" t="str">
        <f>IF(TRIM(Raw_Data!B342)="","Unknown",PROPER(TRIM(Raw_Data!B342)))</f>
        <v>Tablet</v>
      </c>
      <c r="C342" t="str">
        <f>IF(TRIM(Raw_Data!C342)="","South",TRIM(Raw_Data!C342))</f>
        <v>West</v>
      </c>
      <c r="D342">
        <f>IF(TRIM(Raw_Data!D342)="",30435.80739,Raw_Data!D342)</f>
        <v>48588.77</v>
      </c>
      <c r="E342" t="str">
        <f>TEXT(Raw_Data!E342,"DD-MM-YYYY")</f>
        <v>11-06-2024</v>
      </c>
    </row>
    <row r="343" spans="1:5" x14ac:dyDescent="0.3">
      <c r="A343">
        <v>1341</v>
      </c>
      <c r="B343" t="str">
        <f>IF(TRIM(Raw_Data!B343)="","Unknown",PROPER(TRIM(Raw_Data!B343)))</f>
        <v>Tablet</v>
      </c>
      <c r="C343" t="str">
        <f>IF(TRIM(Raw_Data!C343)="","South",TRIM(Raw_Data!C343))</f>
        <v>East</v>
      </c>
      <c r="D343">
        <f>IF(TRIM(Raw_Data!D343)="",30435.80739,Raw_Data!D343)</f>
        <v>53692.32</v>
      </c>
      <c r="E343" t="str">
        <f>TEXT(Raw_Data!E343,"DD-MM-YYYY")</f>
        <v>26-05-2024</v>
      </c>
    </row>
    <row r="344" spans="1:5" x14ac:dyDescent="0.3">
      <c r="A344">
        <v>1342</v>
      </c>
      <c r="B344" t="str">
        <f>IF(TRIM(Raw_Data!B344)="","Unknown",PROPER(TRIM(Raw_Data!B344)))</f>
        <v>Monitor</v>
      </c>
      <c r="C344" t="str">
        <f>IF(TRIM(Raw_Data!C344)="","South",TRIM(Raw_Data!C344))</f>
        <v>West</v>
      </c>
      <c r="D344">
        <f>IF(TRIM(Raw_Data!D344)="",30435.80739,Raw_Data!D344)</f>
        <v>45993.19</v>
      </c>
      <c r="E344" t="str">
        <f>TEXT(Raw_Data!E344,"DD-MM-YYYY")</f>
        <v>22-01-2024</v>
      </c>
    </row>
    <row r="345" spans="1:5" x14ac:dyDescent="0.3">
      <c r="A345">
        <v>1343</v>
      </c>
      <c r="B345" t="str">
        <f>IF(TRIM(Raw_Data!B345)="","Unknown",PROPER(TRIM(Raw_Data!B345)))</f>
        <v>Laptop</v>
      </c>
      <c r="C345" t="str">
        <f>IF(TRIM(Raw_Data!C345)="","South",TRIM(Raw_Data!C345))</f>
        <v>East</v>
      </c>
      <c r="D345">
        <f>IF(TRIM(Raw_Data!D345)="",30435.80739,Raw_Data!D345)</f>
        <v>48461.8</v>
      </c>
      <c r="E345" t="str">
        <f>TEXT(Raw_Data!E345,"DD-MM-YYYY")</f>
        <v>31-05-2024</v>
      </c>
    </row>
    <row r="346" spans="1:5" x14ac:dyDescent="0.3">
      <c r="A346">
        <v>1344</v>
      </c>
      <c r="B346" t="str">
        <f>IF(TRIM(Raw_Data!B346)="","Unknown",PROPER(TRIM(Raw_Data!B346)))</f>
        <v>Keyboard</v>
      </c>
      <c r="C346" t="str">
        <f>IF(TRIM(Raw_Data!C346)="","South",TRIM(Raw_Data!C346))</f>
        <v>East</v>
      </c>
      <c r="D346">
        <f>IF(TRIM(Raw_Data!D346)="",30435.80739,Raw_Data!D346)</f>
        <v>6298.92</v>
      </c>
      <c r="E346" t="str">
        <f>TEXT(Raw_Data!E346,"DD-MM-YYYY")</f>
        <v>30-01-2024</v>
      </c>
    </row>
    <row r="347" spans="1:5" x14ac:dyDescent="0.3">
      <c r="A347">
        <v>1345</v>
      </c>
      <c r="B347" t="str">
        <f>IF(TRIM(Raw_Data!B347)="","Unknown",PROPER(TRIM(Raw_Data!B347)))</f>
        <v>Tablet</v>
      </c>
      <c r="C347" t="str">
        <f>IF(TRIM(Raw_Data!C347)="","South",TRIM(Raw_Data!C347))</f>
        <v>East</v>
      </c>
      <c r="D347">
        <f>IF(TRIM(Raw_Data!D347)="",30435.80739,Raw_Data!D347)</f>
        <v>45452.25</v>
      </c>
      <c r="E347" t="str">
        <f>TEXT(Raw_Data!E347,"DD-MM-YYYY")</f>
        <v>06-07-2024</v>
      </c>
    </row>
    <row r="348" spans="1:5" x14ac:dyDescent="0.3">
      <c r="A348">
        <v>1346</v>
      </c>
      <c r="B348" t="str">
        <f>IF(TRIM(Raw_Data!B348)="","Unknown",PROPER(TRIM(Raw_Data!B348)))</f>
        <v>Tablet</v>
      </c>
      <c r="C348" t="str">
        <f>IF(TRIM(Raw_Data!C348)="","South",TRIM(Raw_Data!C348))</f>
        <v>South</v>
      </c>
      <c r="D348">
        <f>IF(TRIM(Raw_Data!D348)="",30435.80739,Raw_Data!D348)</f>
        <v>5581.31</v>
      </c>
      <c r="E348" t="str">
        <f>TEXT(Raw_Data!E348,"DD-MM-YYYY")</f>
        <v>16-09-2024</v>
      </c>
    </row>
    <row r="349" spans="1:5" x14ac:dyDescent="0.3">
      <c r="A349">
        <v>1347</v>
      </c>
      <c r="B349" t="str">
        <f>IF(TRIM(Raw_Data!B349)="","Unknown",PROPER(TRIM(Raw_Data!B349)))</f>
        <v>Mouse</v>
      </c>
      <c r="C349" t="str">
        <f>IF(TRIM(Raw_Data!C349)="","South",TRIM(Raw_Data!C349))</f>
        <v>West</v>
      </c>
      <c r="D349">
        <f>IF(TRIM(Raw_Data!D349)="",30435.80739,Raw_Data!D349)</f>
        <v>5266.67</v>
      </c>
      <c r="E349" t="str">
        <f>TEXT(Raw_Data!E349,"DD-MM-YYYY")</f>
        <v>01-03-2024</v>
      </c>
    </row>
    <row r="350" spans="1:5" x14ac:dyDescent="0.3">
      <c r="A350">
        <v>1348</v>
      </c>
      <c r="B350" t="str">
        <f>IF(TRIM(Raw_Data!B350)="","Unknown",PROPER(TRIM(Raw_Data!B350)))</f>
        <v>Mouse</v>
      </c>
      <c r="C350" t="str">
        <f>IF(TRIM(Raw_Data!C350)="","South",TRIM(Raw_Data!C350))</f>
        <v>West</v>
      </c>
      <c r="D350">
        <f>IF(TRIM(Raw_Data!D350)="",30435.80739,Raw_Data!D350)</f>
        <v>15291.64</v>
      </c>
      <c r="E350" t="str">
        <f>TEXT(Raw_Data!E350,"DD-MM-YYYY")</f>
        <v>23-12-2024</v>
      </c>
    </row>
    <row r="351" spans="1:5" x14ac:dyDescent="0.3">
      <c r="A351">
        <v>1349</v>
      </c>
      <c r="B351" t="str">
        <f>IF(TRIM(Raw_Data!B351)="","Unknown",PROPER(TRIM(Raw_Data!B351)))</f>
        <v>Tablet</v>
      </c>
      <c r="C351" t="str">
        <f>IF(TRIM(Raw_Data!C351)="","South",TRIM(Raw_Data!C351))</f>
        <v>East</v>
      </c>
      <c r="D351">
        <f>IF(TRIM(Raw_Data!D351)="",30435.80739,Raw_Data!D351)</f>
        <v>17579.27</v>
      </c>
      <c r="E351" t="str">
        <f>TEXT(Raw_Data!E351,"DD-MM-YYYY")</f>
        <v>02-08-2024</v>
      </c>
    </row>
    <row r="352" spans="1:5" x14ac:dyDescent="0.3">
      <c r="A352">
        <v>1350</v>
      </c>
      <c r="B352" t="str">
        <f>IF(TRIM(Raw_Data!B352)="","Unknown",PROPER(TRIM(Raw_Data!B352)))</f>
        <v>Keyboard</v>
      </c>
      <c r="C352" t="str">
        <f>IF(TRIM(Raw_Data!C352)="","South",TRIM(Raw_Data!C352))</f>
        <v>North</v>
      </c>
      <c r="D352">
        <f>IF(TRIM(Raw_Data!D352)="",30435.80739,Raw_Data!D352)</f>
        <v>38788.089999999997</v>
      </c>
      <c r="E352" t="str">
        <f>TEXT(Raw_Data!E352,"DD-MM-YYYY")</f>
        <v>25-09-2024</v>
      </c>
    </row>
    <row r="353" spans="1:5" x14ac:dyDescent="0.3">
      <c r="A353">
        <v>1351</v>
      </c>
      <c r="B353" t="str">
        <f>IF(TRIM(Raw_Data!B353)="","Unknown",PROPER(TRIM(Raw_Data!B353)))</f>
        <v>Tablet</v>
      </c>
      <c r="C353" t="str">
        <f>IF(TRIM(Raw_Data!C353)="","South",TRIM(Raw_Data!C353))</f>
        <v>South</v>
      </c>
      <c r="D353">
        <f>IF(TRIM(Raw_Data!D353)="",30435.80739,Raw_Data!D353)</f>
        <v>27511.63</v>
      </c>
      <c r="E353" t="str">
        <f>TEXT(Raw_Data!E353,"DD-MM-YYYY")</f>
        <v>10-01-2024</v>
      </c>
    </row>
    <row r="354" spans="1:5" x14ac:dyDescent="0.3">
      <c r="A354">
        <v>1352</v>
      </c>
      <c r="B354" t="str">
        <f>IF(TRIM(Raw_Data!B354)="","Unknown",PROPER(TRIM(Raw_Data!B354)))</f>
        <v>Monitor</v>
      </c>
      <c r="C354" t="str">
        <f>IF(TRIM(Raw_Data!C354)="","South",TRIM(Raw_Data!C354))</f>
        <v>North</v>
      </c>
      <c r="D354">
        <f>IF(TRIM(Raw_Data!D354)="",30435.80739,Raw_Data!D354)</f>
        <v>18888.45</v>
      </c>
      <c r="E354" t="str">
        <f>TEXT(Raw_Data!E354,"DD-MM-YYYY")</f>
        <v>30-11-2024</v>
      </c>
    </row>
    <row r="355" spans="1:5" x14ac:dyDescent="0.3">
      <c r="A355">
        <v>1353</v>
      </c>
      <c r="B355" t="str">
        <f>IF(TRIM(Raw_Data!B355)="","Unknown",PROPER(TRIM(Raw_Data!B355)))</f>
        <v>Monitor</v>
      </c>
      <c r="C355" t="str">
        <f>IF(TRIM(Raw_Data!C355)="","South",TRIM(Raw_Data!C355))</f>
        <v>East</v>
      </c>
      <c r="D355">
        <f>IF(TRIM(Raw_Data!D355)="",30435.80739,Raw_Data!D355)</f>
        <v>17772.169999999998</v>
      </c>
      <c r="E355" t="str">
        <f>TEXT(Raw_Data!E355,"DD-MM-YYYY")</f>
        <v>03-12-2024</v>
      </c>
    </row>
    <row r="356" spans="1:5" x14ac:dyDescent="0.3">
      <c r="A356">
        <v>1354</v>
      </c>
      <c r="B356" t="str">
        <f>IF(TRIM(Raw_Data!B356)="","Unknown",PROPER(TRIM(Raw_Data!B356)))</f>
        <v>Keyboard</v>
      </c>
      <c r="C356" t="str">
        <f>IF(TRIM(Raw_Data!C356)="","South",TRIM(Raw_Data!C356))</f>
        <v>East</v>
      </c>
      <c r="D356">
        <f>IF(TRIM(Raw_Data!D356)="",30435.80739,Raw_Data!D356)</f>
        <v>47197.98</v>
      </c>
      <c r="E356" t="str">
        <f>TEXT(Raw_Data!E356,"DD-MM-YYYY")</f>
        <v>30-09-2024</v>
      </c>
    </row>
    <row r="357" spans="1:5" x14ac:dyDescent="0.3">
      <c r="A357">
        <v>1355</v>
      </c>
      <c r="B357" t="str">
        <f>IF(TRIM(Raw_Data!B357)="","Unknown",PROPER(TRIM(Raw_Data!B357)))</f>
        <v>Laptop</v>
      </c>
      <c r="C357" t="str">
        <f>IF(TRIM(Raw_Data!C357)="","South",TRIM(Raw_Data!C357))</f>
        <v>West</v>
      </c>
      <c r="D357">
        <f>IF(TRIM(Raw_Data!D357)="",30435.80739,Raw_Data!D357)</f>
        <v>30435.807390000002</v>
      </c>
      <c r="E357" t="str">
        <f>TEXT(Raw_Data!E357,"DD-MM-YYYY")</f>
        <v>20-11-2024</v>
      </c>
    </row>
    <row r="358" spans="1:5" x14ac:dyDescent="0.3">
      <c r="A358">
        <v>1356</v>
      </c>
      <c r="B358" t="str">
        <f>IF(TRIM(Raw_Data!B358)="","Unknown",PROPER(TRIM(Raw_Data!B358)))</f>
        <v>Mouse</v>
      </c>
      <c r="C358" t="str">
        <f>IF(TRIM(Raw_Data!C358)="","South",TRIM(Raw_Data!C358))</f>
        <v>East</v>
      </c>
      <c r="D358">
        <f>IF(TRIM(Raw_Data!D358)="",30435.80739,Raw_Data!D358)</f>
        <v>52126.33</v>
      </c>
      <c r="E358" t="str">
        <f>TEXT(Raw_Data!E358,"DD-MM-YYYY")</f>
        <v>09-04-2024</v>
      </c>
    </row>
    <row r="359" spans="1:5" x14ac:dyDescent="0.3">
      <c r="A359">
        <v>1357</v>
      </c>
      <c r="B359" t="str">
        <f>IF(TRIM(Raw_Data!B359)="","Unknown",PROPER(TRIM(Raw_Data!B359)))</f>
        <v>Keyboard</v>
      </c>
      <c r="C359" t="str">
        <f>IF(TRIM(Raw_Data!C359)="","South",TRIM(Raw_Data!C359))</f>
        <v>North</v>
      </c>
      <c r="D359">
        <f>IF(TRIM(Raw_Data!D359)="",30435.80739,Raw_Data!D359)</f>
        <v>7845.34</v>
      </c>
      <c r="E359" t="str">
        <f>TEXT(Raw_Data!E359,"DD-MM-YYYY")</f>
        <v>05-08-2024</v>
      </c>
    </row>
    <row r="360" spans="1:5" x14ac:dyDescent="0.3">
      <c r="A360">
        <v>1358</v>
      </c>
      <c r="B360" t="str">
        <f>IF(TRIM(Raw_Data!B360)="","Unknown",PROPER(TRIM(Raw_Data!B360)))</f>
        <v>Tablet</v>
      </c>
      <c r="C360" t="str">
        <f>IF(TRIM(Raw_Data!C360)="","South",TRIM(Raw_Data!C360))</f>
        <v>West</v>
      </c>
      <c r="D360">
        <f>IF(TRIM(Raw_Data!D360)="",30435.80739,Raw_Data!D360)</f>
        <v>52655.16</v>
      </c>
      <c r="E360" t="str">
        <f>TEXT(Raw_Data!E360,"DD-MM-YYYY")</f>
        <v>10-04-2024</v>
      </c>
    </row>
    <row r="361" spans="1:5" x14ac:dyDescent="0.3">
      <c r="A361">
        <v>1359</v>
      </c>
      <c r="B361" t="str">
        <f>IF(TRIM(Raw_Data!B361)="","Unknown",PROPER(TRIM(Raw_Data!B361)))</f>
        <v>Laptop</v>
      </c>
      <c r="C361" t="str">
        <f>IF(TRIM(Raw_Data!C361)="","South",TRIM(Raw_Data!C361))</f>
        <v>West</v>
      </c>
      <c r="D361">
        <f>IF(TRIM(Raw_Data!D361)="",30435.80739,Raw_Data!D361)</f>
        <v>47127.61</v>
      </c>
      <c r="E361" t="str">
        <f>TEXT(Raw_Data!E361,"DD-MM-YYYY")</f>
        <v>19-05-2024</v>
      </c>
    </row>
    <row r="362" spans="1:5" x14ac:dyDescent="0.3">
      <c r="A362">
        <v>1360</v>
      </c>
      <c r="B362" t="str">
        <f>IF(TRIM(Raw_Data!B362)="","Unknown",PROPER(TRIM(Raw_Data!B362)))</f>
        <v>Mouse</v>
      </c>
      <c r="C362" t="str">
        <f>IF(TRIM(Raw_Data!C362)="","South",TRIM(Raw_Data!C362))</f>
        <v>West</v>
      </c>
      <c r="D362">
        <f>IF(TRIM(Raw_Data!D362)="",30435.80739,Raw_Data!D362)</f>
        <v>7547.67</v>
      </c>
      <c r="E362" t="str">
        <f>TEXT(Raw_Data!E362,"DD-MM-YYYY")</f>
        <v>12-09-2024</v>
      </c>
    </row>
    <row r="363" spans="1:5" x14ac:dyDescent="0.3">
      <c r="A363">
        <v>1361</v>
      </c>
      <c r="B363" t="str">
        <f>IF(TRIM(Raw_Data!B363)="","Unknown",PROPER(TRIM(Raw_Data!B363)))</f>
        <v>Tablet</v>
      </c>
      <c r="C363" t="str">
        <f>IF(TRIM(Raw_Data!C363)="","South",TRIM(Raw_Data!C363))</f>
        <v>South</v>
      </c>
      <c r="D363">
        <f>IF(TRIM(Raw_Data!D363)="",30435.80739,Raw_Data!D363)</f>
        <v>51170.53</v>
      </c>
      <c r="E363" t="str">
        <f>TEXT(Raw_Data!E363,"DD-MM-YYYY")</f>
        <v>16-01-2024</v>
      </c>
    </row>
    <row r="364" spans="1:5" x14ac:dyDescent="0.3">
      <c r="A364">
        <v>1362</v>
      </c>
      <c r="B364" t="str">
        <f>IF(TRIM(Raw_Data!B364)="","Unknown",PROPER(TRIM(Raw_Data!B364)))</f>
        <v>Tablet</v>
      </c>
      <c r="C364" t="str">
        <f>IF(TRIM(Raw_Data!C364)="","South",TRIM(Raw_Data!C364))</f>
        <v>East</v>
      </c>
      <c r="D364">
        <f>IF(TRIM(Raw_Data!D364)="",30435.80739,Raw_Data!D364)</f>
        <v>3120.38</v>
      </c>
      <c r="E364" t="str">
        <f>TEXT(Raw_Data!E364,"DD-MM-YYYY")</f>
        <v>03-08-2024</v>
      </c>
    </row>
    <row r="365" spans="1:5" x14ac:dyDescent="0.3">
      <c r="A365">
        <v>1363</v>
      </c>
      <c r="B365" t="str">
        <f>IF(TRIM(Raw_Data!B365)="","Unknown",PROPER(TRIM(Raw_Data!B365)))</f>
        <v>Monitor</v>
      </c>
      <c r="C365" t="str">
        <f>IF(TRIM(Raw_Data!C365)="","South",TRIM(Raw_Data!C365))</f>
        <v>South</v>
      </c>
      <c r="D365">
        <f>IF(TRIM(Raw_Data!D365)="",30435.80739,Raw_Data!D365)</f>
        <v>28621.09</v>
      </c>
      <c r="E365" t="str">
        <f>TEXT(Raw_Data!E365,"DD-MM-YYYY")</f>
        <v>05-03-2024</v>
      </c>
    </row>
    <row r="366" spans="1:5" x14ac:dyDescent="0.3">
      <c r="A366">
        <v>1364</v>
      </c>
      <c r="B366" t="str">
        <f>IF(TRIM(Raw_Data!B366)="","Unknown",PROPER(TRIM(Raw_Data!B366)))</f>
        <v>Mouse</v>
      </c>
      <c r="C366" t="str">
        <f>IF(TRIM(Raw_Data!C366)="","South",TRIM(Raw_Data!C366))</f>
        <v>East</v>
      </c>
      <c r="D366">
        <f>IF(TRIM(Raw_Data!D366)="",30435.80739,Raw_Data!D366)</f>
        <v>16787.97</v>
      </c>
      <c r="E366" t="str">
        <f>TEXT(Raw_Data!E366,"DD-MM-YYYY")</f>
        <v>22-02-2024</v>
      </c>
    </row>
    <row r="367" spans="1:5" x14ac:dyDescent="0.3">
      <c r="A367">
        <v>1365</v>
      </c>
      <c r="B367" t="str">
        <f>IF(TRIM(Raw_Data!B367)="","Unknown",PROPER(TRIM(Raw_Data!B367)))</f>
        <v>Mouse</v>
      </c>
      <c r="C367" t="str">
        <f>IF(TRIM(Raw_Data!C367)="","South",TRIM(Raw_Data!C367))</f>
        <v>West</v>
      </c>
      <c r="D367">
        <f>IF(TRIM(Raw_Data!D367)="",30435.80739,Raw_Data!D367)</f>
        <v>2853.89</v>
      </c>
      <c r="E367" t="str">
        <f>TEXT(Raw_Data!E367,"DD-MM-YYYY")</f>
        <v>20-04-2024</v>
      </c>
    </row>
    <row r="368" spans="1:5" x14ac:dyDescent="0.3">
      <c r="A368">
        <v>1366</v>
      </c>
      <c r="B368" t="str">
        <f>IF(TRIM(Raw_Data!B368)="","Unknown",PROPER(TRIM(Raw_Data!B368)))</f>
        <v>Mouse</v>
      </c>
      <c r="C368" t="str">
        <f>IF(TRIM(Raw_Data!C368)="","South",TRIM(Raw_Data!C368))</f>
        <v>West</v>
      </c>
      <c r="D368">
        <f>IF(TRIM(Raw_Data!D368)="",30435.80739,Raw_Data!D368)</f>
        <v>30435.807390000002</v>
      </c>
      <c r="E368" t="str">
        <f>TEXT(Raw_Data!E368,"DD-MM-YYYY")</f>
        <v>11-12-2024</v>
      </c>
    </row>
    <row r="369" spans="1:5" x14ac:dyDescent="0.3">
      <c r="A369">
        <v>1367</v>
      </c>
      <c r="B369" t="str">
        <f>IF(TRIM(Raw_Data!B369)="","Unknown",PROPER(TRIM(Raw_Data!B369)))</f>
        <v>Tablet</v>
      </c>
      <c r="C369" t="str">
        <f>IF(TRIM(Raw_Data!C369)="","South",TRIM(Raw_Data!C369))</f>
        <v>South</v>
      </c>
      <c r="D369">
        <f>IF(TRIM(Raw_Data!D369)="",30435.80739,Raw_Data!D369)</f>
        <v>8407.4599999999991</v>
      </c>
      <c r="E369" t="str">
        <f>TEXT(Raw_Data!E369,"DD-MM-YYYY")</f>
        <v>29-06-2024</v>
      </c>
    </row>
    <row r="370" spans="1:5" x14ac:dyDescent="0.3">
      <c r="A370">
        <v>1368</v>
      </c>
      <c r="B370" t="str">
        <f>IF(TRIM(Raw_Data!B370)="","Unknown",PROPER(TRIM(Raw_Data!B370)))</f>
        <v>Laptop</v>
      </c>
      <c r="C370" t="str">
        <f>IF(TRIM(Raw_Data!C370)="","South",TRIM(Raw_Data!C370))</f>
        <v>South</v>
      </c>
      <c r="D370">
        <f>IF(TRIM(Raw_Data!D370)="",30435.80739,Raw_Data!D370)</f>
        <v>20593.86</v>
      </c>
      <c r="E370" t="str">
        <f>TEXT(Raw_Data!E370,"DD-MM-YYYY")</f>
        <v>01-06-2024</v>
      </c>
    </row>
    <row r="371" spans="1:5" x14ac:dyDescent="0.3">
      <c r="A371">
        <v>1369</v>
      </c>
      <c r="B371" t="str">
        <f>IF(TRIM(Raw_Data!B371)="","Unknown",PROPER(TRIM(Raw_Data!B371)))</f>
        <v>Monitor</v>
      </c>
      <c r="C371" t="str">
        <f>IF(TRIM(Raw_Data!C371)="","South",TRIM(Raw_Data!C371))</f>
        <v>South</v>
      </c>
      <c r="D371">
        <f>IF(TRIM(Raw_Data!D371)="",30435.80739,Raw_Data!D371)</f>
        <v>39141.07</v>
      </c>
      <c r="E371" t="str">
        <f>TEXT(Raw_Data!E371,"DD-MM-YYYY")</f>
        <v>14-05-2024</v>
      </c>
    </row>
    <row r="372" spans="1:5" x14ac:dyDescent="0.3">
      <c r="A372">
        <v>1370</v>
      </c>
      <c r="B372" t="str">
        <f>IF(TRIM(Raw_Data!B372)="","Unknown",PROPER(TRIM(Raw_Data!B372)))</f>
        <v>Keyboard</v>
      </c>
      <c r="C372" t="str">
        <f>IF(TRIM(Raw_Data!C372)="","South",TRIM(Raw_Data!C372))</f>
        <v>South</v>
      </c>
      <c r="D372">
        <f>IF(TRIM(Raw_Data!D372)="",30435.80739,Raw_Data!D372)</f>
        <v>13218.6</v>
      </c>
      <c r="E372" t="str">
        <f>TEXT(Raw_Data!E372,"DD-MM-YYYY")</f>
        <v>28-02-2024</v>
      </c>
    </row>
    <row r="373" spans="1:5" x14ac:dyDescent="0.3">
      <c r="A373">
        <v>1371</v>
      </c>
      <c r="B373" t="str">
        <f>IF(TRIM(Raw_Data!B373)="","Unknown",PROPER(TRIM(Raw_Data!B373)))</f>
        <v>Keyboard</v>
      </c>
      <c r="C373" t="str">
        <f>IF(TRIM(Raw_Data!C373)="","South",TRIM(Raw_Data!C373))</f>
        <v>West</v>
      </c>
      <c r="D373">
        <f>IF(TRIM(Raw_Data!D373)="",30435.80739,Raw_Data!D373)</f>
        <v>28954.78</v>
      </c>
      <c r="E373" t="str">
        <f>TEXT(Raw_Data!E373,"DD-MM-YYYY")</f>
        <v>05-08-2024</v>
      </c>
    </row>
    <row r="374" spans="1:5" x14ac:dyDescent="0.3">
      <c r="A374">
        <v>1372</v>
      </c>
      <c r="B374" t="str">
        <f>IF(TRIM(Raw_Data!B374)="","Unknown",PROPER(TRIM(Raw_Data!B374)))</f>
        <v>Laptop</v>
      </c>
      <c r="C374" t="str">
        <f>IF(TRIM(Raw_Data!C374)="","South",TRIM(Raw_Data!C374))</f>
        <v>East</v>
      </c>
      <c r="D374">
        <f>IF(TRIM(Raw_Data!D374)="",30435.80739,Raw_Data!D374)</f>
        <v>34116.32</v>
      </c>
      <c r="E374" t="str">
        <f>TEXT(Raw_Data!E374,"DD-MM-YYYY")</f>
        <v>04-10-2024</v>
      </c>
    </row>
    <row r="375" spans="1:5" x14ac:dyDescent="0.3">
      <c r="A375">
        <v>1373</v>
      </c>
      <c r="B375" t="str">
        <f>IF(TRIM(Raw_Data!B375)="","Unknown",PROPER(TRIM(Raw_Data!B375)))</f>
        <v>Laptop</v>
      </c>
      <c r="C375" t="str">
        <f>IF(TRIM(Raw_Data!C375)="","South",TRIM(Raw_Data!C375))</f>
        <v>South</v>
      </c>
      <c r="D375">
        <f>IF(TRIM(Raw_Data!D375)="",30435.80739,Raw_Data!D375)</f>
        <v>35119.61</v>
      </c>
      <c r="E375" t="str">
        <f>TEXT(Raw_Data!E375,"DD-MM-YYYY")</f>
        <v>23-09-2024</v>
      </c>
    </row>
    <row r="376" spans="1:5" x14ac:dyDescent="0.3">
      <c r="A376">
        <v>1374</v>
      </c>
      <c r="B376" t="str">
        <f>IF(TRIM(Raw_Data!B376)="","Unknown",PROPER(TRIM(Raw_Data!B376)))</f>
        <v>Mouse</v>
      </c>
      <c r="C376" t="str">
        <f>IF(TRIM(Raw_Data!C376)="","South",TRIM(Raw_Data!C376))</f>
        <v>East</v>
      </c>
      <c r="D376">
        <f>IF(TRIM(Raw_Data!D376)="",30435.80739,Raw_Data!D376)</f>
        <v>56896.32</v>
      </c>
      <c r="E376" t="str">
        <f>TEXT(Raw_Data!E376,"DD-MM-YYYY")</f>
        <v>11-04-2024</v>
      </c>
    </row>
    <row r="377" spans="1:5" x14ac:dyDescent="0.3">
      <c r="A377">
        <v>1375</v>
      </c>
      <c r="B377" t="str">
        <f>IF(TRIM(Raw_Data!B377)="","Unknown",PROPER(TRIM(Raw_Data!B377)))</f>
        <v>Monitor</v>
      </c>
      <c r="C377" t="str">
        <f>IF(TRIM(Raw_Data!C377)="","South",TRIM(Raw_Data!C377))</f>
        <v>West</v>
      </c>
      <c r="D377">
        <f>IF(TRIM(Raw_Data!D377)="",30435.80739,Raw_Data!D377)</f>
        <v>9690.8799999999992</v>
      </c>
      <c r="E377" t="str">
        <f>TEXT(Raw_Data!E377,"DD-MM-YYYY")</f>
        <v>05-01-2024</v>
      </c>
    </row>
    <row r="378" spans="1:5" x14ac:dyDescent="0.3">
      <c r="A378">
        <v>1376</v>
      </c>
      <c r="B378" t="str">
        <f>IF(TRIM(Raw_Data!B378)="","Unknown",PROPER(TRIM(Raw_Data!B378)))</f>
        <v>Laptop</v>
      </c>
      <c r="C378" t="str">
        <f>IF(TRIM(Raw_Data!C378)="","South",TRIM(Raw_Data!C378))</f>
        <v>West</v>
      </c>
      <c r="D378">
        <f>IF(TRIM(Raw_Data!D378)="",30435.80739,Raw_Data!D378)</f>
        <v>21901.8</v>
      </c>
      <c r="E378" t="str">
        <f>TEXT(Raw_Data!E378,"DD-MM-YYYY")</f>
        <v>01-05-2024</v>
      </c>
    </row>
    <row r="379" spans="1:5" x14ac:dyDescent="0.3">
      <c r="A379">
        <v>1377</v>
      </c>
      <c r="B379" t="str">
        <f>IF(TRIM(Raw_Data!B379)="","Unknown",PROPER(TRIM(Raw_Data!B379)))</f>
        <v>Laptop</v>
      </c>
      <c r="C379" t="str">
        <f>IF(TRIM(Raw_Data!C379)="","South",TRIM(Raw_Data!C379))</f>
        <v>West</v>
      </c>
      <c r="D379">
        <f>IF(TRIM(Raw_Data!D379)="",30435.80739,Raw_Data!D379)</f>
        <v>26536.14</v>
      </c>
      <c r="E379" t="str">
        <f>TEXT(Raw_Data!E379,"DD-MM-YYYY")</f>
        <v>09-08-2024</v>
      </c>
    </row>
    <row r="380" spans="1:5" x14ac:dyDescent="0.3">
      <c r="A380">
        <v>1378</v>
      </c>
      <c r="B380" t="str">
        <f>IF(TRIM(Raw_Data!B380)="","Unknown",PROPER(TRIM(Raw_Data!B380)))</f>
        <v>Mouse</v>
      </c>
      <c r="C380" t="str">
        <f>IF(TRIM(Raw_Data!C380)="","South",TRIM(Raw_Data!C380))</f>
        <v>North</v>
      </c>
      <c r="D380">
        <f>IF(TRIM(Raw_Data!D380)="",30435.80739,Raw_Data!D380)</f>
        <v>59703.9</v>
      </c>
      <c r="E380" t="str">
        <f>TEXT(Raw_Data!E380,"DD-MM-YYYY")</f>
        <v>19-02-2024</v>
      </c>
    </row>
    <row r="381" spans="1:5" x14ac:dyDescent="0.3">
      <c r="A381">
        <v>1379</v>
      </c>
      <c r="B381" t="str">
        <f>IF(TRIM(Raw_Data!B381)="","Unknown",PROPER(TRIM(Raw_Data!B381)))</f>
        <v>Monitor</v>
      </c>
      <c r="C381" t="str">
        <f>IF(TRIM(Raw_Data!C381)="","South",TRIM(Raw_Data!C381))</f>
        <v>West</v>
      </c>
      <c r="D381">
        <f>IF(TRIM(Raw_Data!D381)="",30435.80739,Raw_Data!D381)</f>
        <v>42991.65</v>
      </c>
      <c r="E381" t="str">
        <f>TEXT(Raw_Data!E381,"DD-MM-YYYY")</f>
        <v>30-03-2024</v>
      </c>
    </row>
    <row r="382" spans="1:5" x14ac:dyDescent="0.3">
      <c r="A382">
        <v>1380</v>
      </c>
      <c r="B382" t="str">
        <f>IF(TRIM(Raw_Data!B382)="","Unknown",PROPER(TRIM(Raw_Data!B382)))</f>
        <v>Keyboard</v>
      </c>
      <c r="C382" t="str">
        <f>IF(TRIM(Raw_Data!C382)="","South",TRIM(Raw_Data!C382))</f>
        <v>North</v>
      </c>
      <c r="D382">
        <f>IF(TRIM(Raw_Data!D382)="",30435.80739,Raw_Data!D382)</f>
        <v>1768.74</v>
      </c>
      <c r="E382" t="str">
        <f>TEXT(Raw_Data!E382,"DD-MM-YYYY")</f>
        <v>16-09-2024</v>
      </c>
    </row>
    <row r="383" spans="1:5" x14ac:dyDescent="0.3">
      <c r="A383">
        <v>1381</v>
      </c>
      <c r="B383" t="str">
        <f>IF(TRIM(Raw_Data!B383)="","Unknown",PROPER(TRIM(Raw_Data!B383)))</f>
        <v>Tablet</v>
      </c>
      <c r="C383" t="str">
        <f>IF(TRIM(Raw_Data!C383)="","South",TRIM(Raw_Data!C383))</f>
        <v>West</v>
      </c>
      <c r="D383">
        <f>IF(TRIM(Raw_Data!D383)="",30435.80739,Raw_Data!D383)</f>
        <v>58056.11</v>
      </c>
      <c r="E383" t="str">
        <f>TEXT(Raw_Data!E383,"DD-MM-YYYY")</f>
        <v>08-01-2024</v>
      </c>
    </row>
    <row r="384" spans="1:5" x14ac:dyDescent="0.3">
      <c r="A384">
        <v>1382</v>
      </c>
      <c r="B384" t="str">
        <f>IF(TRIM(Raw_Data!B384)="","Unknown",PROPER(TRIM(Raw_Data!B384)))</f>
        <v>Mouse</v>
      </c>
      <c r="C384" t="str">
        <f>IF(TRIM(Raw_Data!C384)="","South",TRIM(Raw_Data!C384))</f>
        <v>North</v>
      </c>
      <c r="D384">
        <f>IF(TRIM(Raw_Data!D384)="",30435.80739,Raw_Data!D384)</f>
        <v>40329.43</v>
      </c>
      <c r="E384" t="str">
        <f>TEXT(Raw_Data!E384,"DD-MM-YYYY")</f>
        <v>05-07-2024</v>
      </c>
    </row>
    <row r="385" spans="1:5" x14ac:dyDescent="0.3">
      <c r="A385">
        <v>1383</v>
      </c>
      <c r="B385" t="str">
        <f>IF(TRIM(Raw_Data!B385)="","Unknown",PROPER(TRIM(Raw_Data!B385)))</f>
        <v>Monitor</v>
      </c>
      <c r="C385" t="str">
        <f>IF(TRIM(Raw_Data!C385)="","South",TRIM(Raw_Data!C385))</f>
        <v>North</v>
      </c>
      <c r="D385">
        <f>IF(TRIM(Raw_Data!D385)="",30435.80739,Raw_Data!D385)</f>
        <v>23242.15</v>
      </c>
      <c r="E385" t="str">
        <f>TEXT(Raw_Data!E385,"DD-MM-YYYY")</f>
        <v>04-06-2024</v>
      </c>
    </row>
    <row r="386" spans="1:5" x14ac:dyDescent="0.3">
      <c r="A386">
        <v>1384</v>
      </c>
      <c r="B386" t="str">
        <f>IF(TRIM(Raw_Data!B386)="","Unknown",PROPER(TRIM(Raw_Data!B386)))</f>
        <v>Keyboard</v>
      </c>
      <c r="C386" t="str">
        <f>IF(TRIM(Raw_Data!C386)="","South",TRIM(Raw_Data!C386))</f>
        <v>West</v>
      </c>
      <c r="D386">
        <f>IF(TRIM(Raw_Data!D386)="",30435.80739,Raw_Data!D386)</f>
        <v>44002.83</v>
      </c>
      <c r="E386" t="str">
        <f>TEXT(Raw_Data!E386,"DD-MM-YYYY")</f>
        <v>31-03-2024</v>
      </c>
    </row>
    <row r="387" spans="1:5" x14ac:dyDescent="0.3">
      <c r="A387">
        <v>1385</v>
      </c>
      <c r="B387" t="str">
        <f>IF(TRIM(Raw_Data!B387)="","Unknown",PROPER(TRIM(Raw_Data!B387)))</f>
        <v>Mouse</v>
      </c>
      <c r="C387" t="str">
        <f>IF(TRIM(Raw_Data!C387)="","South",TRIM(Raw_Data!C387))</f>
        <v>South</v>
      </c>
      <c r="D387">
        <f>IF(TRIM(Raw_Data!D387)="",30435.80739,Raw_Data!D387)</f>
        <v>30435.807390000002</v>
      </c>
      <c r="E387" t="str">
        <f>TEXT(Raw_Data!E387,"DD-MM-YYYY")</f>
        <v>15-08-2024</v>
      </c>
    </row>
    <row r="388" spans="1:5" x14ac:dyDescent="0.3">
      <c r="A388">
        <v>1386</v>
      </c>
      <c r="B388" t="str">
        <f>IF(TRIM(Raw_Data!B388)="","Unknown",PROPER(TRIM(Raw_Data!B388)))</f>
        <v>Tablet</v>
      </c>
      <c r="C388" t="str">
        <f>IF(TRIM(Raw_Data!C388)="","South",TRIM(Raw_Data!C388))</f>
        <v>North</v>
      </c>
      <c r="D388">
        <f>IF(TRIM(Raw_Data!D388)="",30435.80739,Raw_Data!D388)</f>
        <v>30435.807390000002</v>
      </c>
      <c r="E388" t="str">
        <f>TEXT(Raw_Data!E388,"DD-MM-YYYY")</f>
        <v>02-04-2024</v>
      </c>
    </row>
    <row r="389" spans="1:5" x14ac:dyDescent="0.3">
      <c r="A389">
        <v>1387</v>
      </c>
      <c r="B389" t="str">
        <f>IF(TRIM(Raw_Data!B389)="","Unknown",PROPER(TRIM(Raw_Data!B389)))</f>
        <v>Unknown</v>
      </c>
      <c r="C389" t="str">
        <f>IF(TRIM(Raw_Data!C389)="","South",TRIM(Raw_Data!C389))</f>
        <v>West</v>
      </c>
      <c r="D389">
        <f>IF(TRIM(Raw_Data!D389)="",30435.80739,Raw_Data!D389)</f>
        <v>17257.330000000002</v>
      </c>
      <c r="E389" t="str">
        <f>TEXT(Raw_Data!E389,"DD-MM-YYYY")</f>
        <v>17-01-2024</v>
      </c>
    </row>
    <row r="390" spans="1:5" x14ac:dyDescent="0.3">
      <c r="A390">
        <v>1388</v>
      </c>
      <c r="B390" t="str">
        <f>IF(TRIM(Raw_Data!B390)="","Unknown",PROPER(TRIM(Raw_Data!B390)))</f>
        <v>Laptop</v>
      </c>
      <c r="C390" t="str">
        <f>IF(TRIM(Raw_Data!C390)="","South",TRIM(Raw_Data!C390))</f>
        <v>South</v>
      </c>
      <c r="D390">
        <f>IF(TRIM(Raw_Data!D390)="",30435.80739,Raw_Data!D390)</f>
        <v>12303.98</v>
      </c>
      <c r="E390" t="str">
        <f>TEXT(Raw_Data!E390,"DD-MM-YYYY")</f>
        <v>30-12-2024</v>
      </c>
    </row>
    <row r="391" spans="1:5" x14ac:dyDescent="0.3">
      <c r="A391">
        <v>1389</v>
      </c>
      <c r="B391" t="str">
        <f>IF(TRIM(Raw_Data!B391)="","Unknown",PROPER(TRIM(Raw_Data!B391)))</f>
        <v>Laptop</v>
      </c>
      <c r="C391" t="str">
        <f>IF(TRIM(Raw_Data!C391)="","South",TRIM(Raw_Data!C391))</f>
        <v>East</v>
      </c>
      <c r="D391">
        <f>IF(TRIM(Raw_Data!D391)="",30435.80739,Raw_Data!D391)</f>
        <v>9742.5</v>
      </c>
      <c r="E391" t="str">
        <f>TEXT(Raw_Data!E391,"DD-MM-YYYY")</f>
        <v>24-08-2024</v>
      </c>
    </row>
    <row r="392" spans="1:5" x14ac:dyDescent="0.3">
      <c r="A392">
        <v>1390</v>
      </c>
      <c r="B392" t="str">
        <f>IF(TRIM(Raw_Data!B392)="","Unknown",PROPER(TRIM(Raw_Data!B392)))</f>
        <v>Monitor</v>
      </c>
      <c r="C392" t="str">
        <f>IF(TRIM(Raw_Data!C392)="","South",TRIM(Raw_Data!C392))</f>
        <v>East</v>
      </c>
      <c r="D392">
        <f>IF(TRIM(Raw_Data!D392)="",30435.80739,Raw_Data!D392)</f>
        <v>20253.97</v>
      </c>
      <c r="E392" t="str">
        <f>TEXT(Raw_Data!E392,"DD-MM-YYYY")</f>
        <v>18-04-2024</v>
      </c>
    </row>
    <row r="393" spans="1:5" x14ac:dyDescent="0.3">
      <c r="A393">
        <v>1391</v>
      </c>
      <c r="B393" t="str">
        <f>IF(TRIM(Raw_Data!B393)="","Unknown",PROPER(TRIM(Raw_Data!B393)))</f>
        <v>Keyboard</v>
      </c>
      <c r="C393" t="str">
        <f>IF(TRIM(Raw_Data!C393)="","South",TRIM(Raw_Data!C393))</f>
        <v>North</v>
      </c>
      <c r="D393">
        <f>IF(TRIM(Raw_Data!D393)="",30435.80739,Raw_Data!D393)</f>
        <v>29103.81</v>
      </c>
      <c r="E393" t="str">
        <f>TEXT(Raw_Data!E393,"DD-MM-YYYY")</f>
        <v>29-08-2024</v>
      </c>
    </row>
    <row r="394" spans="1:5" x14ac:dyDescent="0.3">
      <c r="A394">
        <v>1392</v>
      </c>
      <c r="B394" t="str">
        <f>IF(TRIM(Raw_Data!B394)="","Unknown",PROPER(TRIM(Raw_Data!B394)))</f>
        <v>Monitor</v>
      </c>
      <c r="C394" t="str">
        <f>IF(TRIM(Raw_Data!C394)="","South",TRIM(Raw_Data!C394))</f>
        <v>West</v>
      </c>
      <c r="D394">
        <f>IF(TRIM(Raw_Data!D394)="",30435.80739,Raw_Data!D394)</f>
        <v>13217.47</v>
      </c>
      <c r="E394" t="str">
        <f>TEXT(Raw_Data!E394,"DD-MM-YYYY")</f>
        <v>19-11-2024</v>
      </c>
    </row>
    <row r="395" spans="1:5" x14ac:dyDescent="0.3">
      <c r="A395">
        <v>1393</v>
      </c>
      <c r="B395" t="str">
        <f>IF(TRIM(Raw_Data!B395)="","Unknown",PROPER(TRIM(Raw_Data!B395)))</f>
        <v>Keyboard</v>
      </c>
      <c r="C395" t="str">
        <f>IF(TRIM(Raw_Data!C395)="","South",TRIM(Raw_Data!C395))</f>
        <v>South</v>
      </c>
      <c r="D395">
        <f>IF(TRIM(Raw_Data!D395)="",30435.80739,Raw_Data!D395)</f>
        <v>3810.83</v>
      </c>
      <c r="E395" t="str">
        <f>TEXT(Raw_Data!E395,"DD-MM-YYYY")</f>
        <v>12-06-2024</v>
      </c>
    </row>
    <row r="396" spans="1:5" x14ac:dyDescent="0.3">
      <c r="A396">
        <v>1394</v>
      </c>
      <c r="B396" t="str">
        <f>IF(TRIM(Raw_Data!B396)="","Unknown",PROPER(TRIM(Raw_Data!B396)))</f>
        <v>Mouse</v>
      </c>
      <c r="C396" t="str">
        <f>IF(TRIM(Raw_Data!C396)="","South",TRIM(Raw_Data!C396))</f>
        <v>North</v>
      </c>
      <c r="D396">
        <f>IF(TRIM(Raw_Data!D396)="",30435.80739,Raw_Data!D396)</f>
        <v>17665.87</v>
      </c>
      <c r="E396" t="str">
        <f>TEXT(Raw_Data!E396,"DD-MM-YYYY")</f>
        <v>05-10-2024</v>
      </c>
    </row>
    <row r="397" spans="1:5" x14ac:dyDescent="0.3">
      <c r="A397">
        <v>1395</v>
      </c>
      <c r="B397" t="str">
        <f>IF(TRIM(Raw_Data!B397)="","Unknown",PROPER(TRIM(Raw_Data!B397)))</f>
        <v>Mouse</v>
      </c>
      <c r="C397" t="str">
        <f>IF(TRIM(Raw_Data!C397)="","South",TRIM(Raw_Data!C397))</f>
        <v>South</v>
      </c>
      <c r="D397">
        <f>IF(TRIM(Raw_Data!D397)="",30435.80739,Raw_Data!D397)</f>
        <v>22368.400000000001</v>
      </c>
      <c r="E397" t="str">
        <f>TEXT(Raw_Data!E397,"DD-MM-YYYY")</f>
        <v>08-11-2024</v>
      </c>
    </row>
    <row r="398" spans="1:5" x14ac:dyDescent="0.3">
      <c r="A398">
        <v>1396</v>
      </c>
      <c r="B398" t="str">
        <f>IF(TRIM(Raw_Data!B398)="","Unknown",PROPER(TRIM(Raw_Data!B398)))</f>
        <v>Keyboard</v>
      </c>
      <c r="C398" t="str">
        <f>IF(TRIM(Raw_Data!C398)="","South",TRIM(Raw_Data!C398))</f>
        <v>East</v>
      </c>
      <c r="D398">
        <f>IF(TRIM(Raw_Data!D398)="",30435.80739,Raw_Data!D398)</f>
        <v>30435.807390000002</v>
      </c>
      <c r="E398" t="str">
        <f>TEXT(Raw_Data!E398,"DD-MM-YYYY")</f>
        <v>29-10-2024</v>
      </c>
    </row>
    <row r="399" spans="1:5" x14ac:dyDescent="0.3">
      <c r="A399">
        <v>1397</v>
      </c>
      <c r="B399" t="str">
        <f>IF(TRIM(Raw_Data!B399)="","Unknown",PROPER(TRIM(Raw_Data!B399)))</f>
        <v>Tablet</v>
      </c>
      <c r="C399" t="str">
        <f>IF(TRIM(Raw_Data!C399)="","South",TRIM(Raw_Data!C399))</f>
        <v>North</v>
      </c>
      <c r="D399">
        <f>IF(TRIM(Raw_Data!D399)="",30435.80739,Raw_Data!D399)</f>
        <v>45785.07</v>
      </c>
      <c r="E399" t="str">
        <f>TEXT(Raw_Data!E399,"DD-MM-YYYY")</f>
        <v>09-11-2024</v>
      </c>
    </row>
    <row r="400" spans="1:5" x14ac:dyDescent="0.3">
      <c r="A400">
        <v>1398</v>
      </c>
      <c r="B400" t="str">
        <f>IF(TRIM(Raw_Data!B400)="","Unknown",PROPER(TRIM(Raw_Data!B400)))</f>
        <v>Keyboard</v>
      </c>
      <c r="C400" t="str">
        <f>IF(TRIM(Raw_Data!C400)="","South",TRIM(Raw_Data!C400))</f>
        <v>West</v>
      </c>
      <c r="D400">
        <f>IF(TRIM(Raw_Data!D400)="",30435.80739,Raw_Data!D400)</f>
        <v>54214.47</v>
      </c>
      <c r="E400" t="str">
        <f>TEXT(Raw_Data!E400,"DD-MM-YYYY")</f>
        <v>15-08-2024</v>
      </c>
    </row>
    <row r="401" spans="1:5" x14ac:dyDescent="0.3">
      <c r="A401">
        <v>1399</v>
      </c>
      <c r="B401" t="str">
        <f>IF(TRIM(Raw_Data!B401)="","Unknown",PROPER(TRIM(Raw_Data!B401)))</f>
        <v>Tablet</v>
      </c>
      <c r="C401" t="str">
        <f>IF(TRIM(Raw_Data!C401)="","South",TRIM(Raw_Data!C401))</f>
        <v>East</v>
      </c>
      <c r="D401">
        <f>IF(TRIM(Raw_Data!D401)="",30435.80739,Raw_Data!D401)</f>
        <v>33125.32</v>
      </c>
      <c r="E401" t="str">
        <f>TEXT(Raw_Data!E401,"DD-MM-YYYY")</f>
        <v>20-07-2024</v>
      </c>
    </row>
    <row r="402" spans="1:5" x14ac:dyDescent="0.3">
      <c r="A402">
        <v>1400</v>
      </c>
      <c r="B402" t="str">
        <f>IF(TRIM(Raw_Data!B402)="","Unknown",PROPER(TRIM(Raw_Data!B402)))</f>
        <v>Mouse</v>
      </c>
      <c r="C402" t="str">
        <f>IF(TRIM(Raw_Data!C402)="","South",TRIM(Raw_Data!C402))</f>
        <v>South</v>
      </c>
      <c r="D402">
        <f>IF(TRIM(Raw_Data!D402)="",30435.80739,Raw_Data!D402)</f>
        <v>29430.18</v>
      </c>
      <c r="E402" t="str">
        <f>TEXT(Raw_Data!E402,"DD-MM-YYYY")</f>
        <v>29-09-2024</v>
      </c>
    </row>
    <row r="403" spans="1:5" x14ac:dyDescent="0.3">
      <c r="A403">
        <v>1401</v>
      </c>
      <c r="B403" t="str">
        <f>IF(TRIM(Raw_Data!B403)="","Unknown",PROPER(TRIM(Raw_Data!B403)))</f>
        <v>Tablet</v>
      </c>
      <c r="C403" t="str">
        <f>IF(TRIM(Raw_Data!C403)="","South",TRIM(Raw_Data!C403))</f>
        <v>South</v>
      </c>
      <c r="D403">
        <f>IF(TRIM(Raw_Data!D403)="",30435.80739,Raw_Data!D403)</f>
        <v>31024.54</v>
      </c>
      <c r="E403" t="str">
        <f>TEXT(Raw_Data!E403,"DD-MM-YYYY")</f>
        <v>18-10-2024</v>
      </c>
    </row>
    <row r="404" spans="1:5" x14ac:dyDescent="0.3">
      <c r="A404">
        <v>1402</v>
      </c>
      <c r="B404" t="str">
        <f>IF(TRIM(Raw_Data!B404)="","Unknown",PROPER(TRIM(Raw_Data!B404)))</f>
        <v>Laptop</v>
      </c>
      <c r="C404" t="str">
        <f>IF(TRIM(Raw_Data!C404)="","South",TRIM(Raw_Data!C404))</f>
        <v>North</v>
      </c>
      <c r="D404">
        <f>IF(TRIM(Raw_Data!D404)="",30435.80739,Raw_Data!D404)</f>
        <v>8199.7999999999993</v>
      </c>
      <c r="E404" t="str">
        <f>TEXT(Raw_Data!E404,"DD-MM-YYYY")</f>
        <v>15-06-2024</v>
      </c>
    </row>
    <row r="405" spans="1:5" x14ac:dyDescent="0.3">
      <c r="A405">
        <v>1403</v>
      </c>
      <c r="B405" t="str">
        <f>IF(TRIM(Raw_Data!B405)="","Unknown",PROPER(TRIM(Raw_Data!B405)))</f>
        <v>Tablet</v>
      </c>
      <c r="C405" t="str">
        <f>IF(TRIM(Raw_Data!C405)="","South",TRIM(Raw_Data!C405))</f>
        <v>East</v>
      </c>
      <c r="D405">
        <f>IF(TRIM(Raw_Data!D405)="",30435.80739,Raw_Data!D405)</f>
        <v>40243.629999999997</v>
      </c>
      <c r="E405" t="str">
        <f>TEXT(Raw_Data!E405,"DD-MM-YYYY")</f>
        <v>01-09-2024</v>
      </c>
    </row>
    <row r="406" spans="1:5" x14ac:dyDescent="0.3">
      <c r="A406">
        <v>1404</v>
      </c>
      <c r="B406" t="str">
        <f>IF(TRIM(Raw_Data!B406)="","Unknown",PROPER(TRIM(Raw_Data!B406)))</f>
        <v>Mouse</v>
      </c>
      <c r="C406" t="str">
        <f>IF(TRIM(Raw_Data!C406)="","South",TRIM(Raw_Data!C406))</f>
        <v>North</v>
      </c>
      <c r="D406">
        <f>IF(TRIM(Raw_Data!D406)="",30435.80739,Raw_Data!D406)</f>
        <v>23450.54</v>
      </c>
      <c r="E406" t="str">
        <f>TEXT(Raw_Data!E406,"DD-MM-YYYY")</f>
        <v>27-09-2024</v>
      </c>
    </row>
    <row r="407" spans="1:5" x14ac:dyDescent="0.3">
      <c r="A407">
        <v>1405</v>
      </c>
      <c r="B407" t="str">
        <f>IF(TRIM(Raw_Data!B407)="","Unknown",PROPER(TRIM(Raw_Data!B407)))</f>
        <v>Unknown</v>
      </c>
      <c r="C407" t="str">
        <f>IF(TRIM(Raw_Data!C407)="","South",TRIM(Raw_Data!C407))</f>
        <v>East</v>
      </c>
      <c r="D407">
        <f>IF(TRIM(Raw_Data!D407)="",30435.80739,Raw_Data!D407)</f>
        <v>48055.29</v>
      </c>
      <c r="E407" t="str">
        <f>TEXT(Raw_Data!E407,"DD-MM-YYYY")</f>
        <v>15-10-2024</v>
      </c>
    </row>
    <row r="408" spans="1:5" x14ac:dyDescent="0.3">
      <c r="A408">
        <v>1406</v>
      </c>
      <c r="B408" t="str">
        <f>IF(TRIM(Raw_Data!B408)="","Unknown",PROPER(TRIM(Raw_Data!B408)))</f>
        <v>Tablet</v>
      </c>
      <c r="C408" t="str">
        <f>IF(TRIM(Raw_Data!C408)="","South",TRIM(Raw_Data!C408))</f>
        <v>East</v>
      </c>
      <c r="D408">
        <f>IF(TRIM(Raw_Data!D408)="",30435.80739,Raw_Data!D408)</f>
        <v>58055.08</v>
      </c>
      <c r="E408" t="str">
        <f>TEXT(Raw_Data!E408,"DD-MM-YYYY")</f>
        <v>04-12-2024</v>
      </c>
    </row>
    <row r="409" spans="1:5" x14ac:dyDescent="0.3">
      <c r="A409">
        <v>1407</v>
      </c>
      <c r="B409" t="str">
        <f>IF(TRIM(Raw_Data!B409)="","Unknown",PROPER(TRIM(Raw_Data!B409)))</f>
        <v>Tablet</v>
      </c>
      <c r="C409" t="str">
        <f>IF(TRIM(Raw_Data!C409)="","South",TRIM(Raw_Data!C409))</f>
        <v>North</v>
      </c>
      <c r="D409">
        <f>IF(TRIM(Raw_Data!D409)="",30435.80739,Raw_Data!D409)</f>
        <v>57195.56</v>
      </c>
      <c r="E409" t="str">
        <f>TEXT(Raw_Data!E409,"DD-MM-YYYY")</f>
        <v>20-03-2024</v>
      </c>
    </row>
    <row r="410" spans="1:5" x14ac:dyDescent="0.3">
      <c r="A410">
        <v>1408</v>
      </c>
      <c r="B410" t="str">
        <f>IF(TRIM(Raw_Data!B410)="","Unknown",PROPER(TRIM(Raw_Data!B410)))</f>
        <v>Laptop</v>
      </c>
      <c r="C410" t="str">
        <f>IF(TRIM(Raw_Data!C410)="","South",TRIM(Raw_Data!C410))</f>
        <v>South</v>
      </c>
      <c r="D410">
        <f>IF(TRIM(Raw_Data!D410)="",30435.80739,Raw_Data!D410)</f>
        <v>52413.43</v>
      </c>
      <c r="E410" t="str">
        <f>TEXT(Raw_Data!E410,"DD-MM-YYYY")</f>
        <v>08-11-2024</v>
      </c>
    </row>
    <row r="411" spans="1:5" x14ac:dyDescent="0.3">
      <c r="A411">
        <v>1409</v>
      </c>
      <c r="B411" t="str">
        <f>IF(TRIM(Raw_Data!B411)="","Unknown",PROPER(TRIM(Raw_Data!B411)))</f>
        <v>Monitor</v>
      </c>
      <c r="C411" t="str">
        <f>IF(TRIM(Raw_Data!C411)="","South",TRIM(Raw_Data!C411))</f>
        <v>North</v>
      </c>
      <c r="D411">
        <f>IF(TRIM(Raw_Data!D411)="",30435.80739,Raw_Data!D411)</f>
        <v>1717.25</v>
      </c>
      <c r="E411" t="str">
        <f>TEXT(Raw_Data!E411,"DD-MM-YYYY")</f>
        <v>23-11-2024</v>
      </c>
    </row>
    <row r="412" spans="1:5" x14ac:dyDescent="0.3">
      <c r="A412">
        <v>1410</v>
      </c>
      <c r="B412" t="str">
        <f>IF(TRIM(Raw_Data!B412)="","Unknown",PROPER(TRIM(Raw_Data!B412)))</f>
        <v>Laptop</v>
      </c>
      <c r="C412" t="str">
        <f>IF(TRIM(Raw_Data!C412)="","South",TRIM(Raw_Data!C412))</f>
        <v>East</v>
      </c>
      <c r="D412">
        <f>IF(TRIM(Raw_Data!D412)="",30435.80739,Raw_Data!D412)</f>
        <v>37656.25</v>
      </c>
      <c r="E412" t="str">
        <f>TEXT(Raw_Data!E412,"DD-MM-YYYY")</f>
        <v>06-04-2024</v>
      </c>
    </row>
    <row r="413" spans="1:5" x14ac:dyDescent="0.3">
      <c r="A413">
        <v>1411</v>
      </c>
      <c r="B413" t="str">
        <f>IF(TRIM(Raw_Data!B413)="","Unknown",PROPER(TRIM(Raw_Data!B413)))</f>
        <v>Laptop</v>
      </c>
      <c r="C413" t="str">
        <f>IF(TRIM(Raw_Data!C413)="","South",TRIM(Raw_Data!C413))</f>
        <v>West</v>
      </c>
      <c r="D413">
        <f>IF(TRIM(Raw_Data!D413)="",30435.80739,Raw_Data!D413)</f>
        <v>20674.29</v>
      </c>
      <c r="E413" t="str">
        <f>TEXT(Raw_Data!E413,"DD-MM-YYYY")</f>
        <v>01-08-2024</v>
      </c>
    </row>
    <row r="414" spans="1:5" x14ac:dyDescent="0.3">
      <c r="A414">
        <v>1412</v>
      </c>
      <c r="B414" t="str">
        <f>IF(TRIM(Raw_Data!B414)="","Unknown",PROPER(TRIM(Raw_Data!B414)))</f>
        <v>Mouse</v>
      </c>
      <c r="C414" t="str">
        <f>IF(TRIM(Raw_Data!C414)="","South",TRIM(Raw_Data!C414))</f>
        <v>North</v>
      </c>
      <c r="D414">
        <f>IF(TRIM(Raw_Data!D414)="",30435.80739,Raw_Data!D414)</f>
        <v>38304.65</v>
      </c>
      <c r="E414" t="str">
        <f>TEXT(Raw_Data!E414,"DD-MM-YYYY")</f>
        <v>14-01-2024</v>
      </c>
    </row>
    <row r="415" spans="1:5" x14ac:dyDescent="0.3">
      <c r="A415">
        <v>1413</v>
      </c>
      <c r="B415" t="str">
        <f>IF(TRIM(Raw_Data!B415)="","Unknown",PROPER(TRIM(Raw_Data!B415)))</f>
        <v>Keyboard</v>
      </c>
      <c r="C415" t="str">
        <f>IF(TRIM(Raw_Data!C415)="","South",TRIM(Raw_Data!C415))</f>
        <v>North</v>
      </c>
      <c r="D415">
        <f>IF(TRIM(Raw_Data!D415)="",30435.80739,Raw_Data!D415)</f>
        <v>54969.14</v>
      </c>
      <c r="E415" t="str">
        <f>TEXT(Raw_Data!E415,"DD-MM-YYYY")</f>
        <v>05-08-2024</v>
      </c>
    </row>
    <row r="416" spans="1:5" x14ac:dyDescent="0.3">
      <c r="A416">
        <v>1414</v>
      </c>
      <c r="B416" t="str">
        <f>IF(TRIM(Raw_Data!B416)="","Unknown",PROPER(TRIM(Raw_Data!B416)))</f>
        <v>Monitor</v>
      </c>
      <c r="C416" t="str">
        <f>IF(TRIM(Raw_Data!C416)="","South",TRIM(Raw_Data!C416))</f>
        <v>South</v>
      </c>
      <c r="D416">
        <f>IF(TRIM(Raw_Data!D416)="",30435.80739,Raw_Data!D416)</f>
        <v>12199.1</v>
      </c>
      <c r="E416" t="str">
        <f>TEXT(Raw_Data!E416,"DD-MM-YYYY")</f>
        <v>06-08-2024</v>
      </c>
    </row>
    <row r="417" spans="1:5" x14ac:dyDescent="0.3">
      <c r="A417">
        <v>1415</v>
      </c>
      <c r="B417" t="str">
        <f>IF(TRIM(Raw_Data!B417)="","Unknown",PROPER(TRIM(Raw_Data!B417)))</f>
        <v>Tablet</v>
      </c>
      <c r="C417" t="str">
        <f>IF(TRIM(Raw_Data!C417)="","South",TRIM(Raw_Data!C417))</f>
        <v>South</v>
      </c>
      <c r="D417">
        <f>IF(TRIM(Raw_Data!D417)="",30435.80739,Raw_Data!D417)</f>
        <v>33426.769999999997</v>
      </c>
      <c r="E417" t="str">
        <f>TEXT(Raw_Data!E417,"DD-MM-YYYY")</f>
        <v>14-06-2024</v>
      </c>
    </row>
    <row r="418" spans="1:5" x14ac:dyDescent="0.3">
      <c r="A418">
        <v>1416</v>
      </c>
      <c r="B418" t="str">
        <f>IF(TRIM(Raw_Data!B418)="","Unknown",PROPER(TRIM(Raw_Data!B418)))</f>
        <v>Tablet</v>
      </c>
      <c r="C418" t="str">
        <f>IF(TRIM(Raw_Data!C418)="","South",TRIM(Raw_Data!C418))</f>
        <v>North</v>
      </c>
      <c r="D418">
        <f>IF(TRIM(Raw_Data!D418)="",30435.80739,Raw_Data!D418)</f>
        <v>6431.95</v>
      </c>
      <c r="E418" t="str">
        <f>TEXT(Raw_Data!E418,"DD-MM-YYYY")</f>
        <v>17-04-2024</v>
      </c>
    </row>
    <row r="419" spans="1:5" x14ac:dyDescent="0.3">
      <c r="A419">
        <v>1417</v>
      </c>
      <c r="B419" t="str">
        <f>IF(TRIM(Raw_Data!B419)="","Unknown",PROPER(TRIM(Raw_Data!B419)))</f>
        <v>Tablet</v>
      </c>
      <c r="C419" t="str">
        <f>IF(TRIM(Raw_Data!C419)="","South",TRIM(Raw_Data!C419))</f>
        <v>South</v>
      </c>
      <c r="D419">
        <f>IF(TRIM(Raw_Data!D419)="",30435.80739,Raw_Data!D419)</f>
        <v>34255.94</v>
      </c>
      <c r="E419" t="str">
        <f>TEXT(Raw_Data!E419,"DD-MM-YYYY")</f>
        <v>13-03-2024</v>
      </c>
    </row>
    <row r="420" spans="1:5" x14ac:dyDescent="0.3">
      <c r="A420">
        <v>1418</v>
      </c>
      <c r="B420" t="str">
        <f>IF(TRIM(Raw_Data!B420)="","Unknown",PROPER(TRIM(Raw_Data!B420)))</f>
        <v>Tablet</v>
      </c>
      <c r="C420" t="str">
        <f>IF(TRIM(Raw_Data!C420)="","South",TRIM(Raw_Data!C420))</f>
        <v>East</v>
      </c>
      <c r="D420">
        <f>IF(TRIM(Raw_Data!D420)="",30435.80739,Raw_Data!D420)</f>
        <v>56857.29</v>
      </c>
      <c r="E420" t="str">
        <f>TEXT(Raw_Data!E420,"DD-MM-YYYY")</f>
        <v>02-06-2024</v>
      </c>
    </row>
    <row r="421" spans="1:5" x14ac:dyDescent="0.3">
      <c r="A421">
        <v>1419</v>
      </c>
      <c r="B421" t="str">
        <f>IF(TRIM(Raw_Data!B421)="","Unknown",PROPER(TRIM(Raw_Data!B421)))</f>
        <v>Laptop</v>
      </c>
      <c r="C421" t="str">
        <f>IF(TRIM(Raw_Data!C421)="","South",TRIM(Raw_Data!C421))</f>
        <v>South</v>
      </c>
      <c r="D421">
        <f>IF(TRIM(Raw_Data!D421)="",30435.80739,Raw_Data!D421)</f>
        <v>37887.08</v>
      </c>
      <c r="E421" t="str">
        <f>TEXT(Raw_Data!E421,"DD-MM-YYYY")</f>
        <v>25-01-2024</v>
      </c>
    </row>
    <row r="422" spans="1:5" x14ac:dyDescent="0.3">
      <c r="A422">
        <v>1420</v>
      </c>
      <c r="B422" t="str">
        <f>IF(TRIM(Raw_Data!B422)="","Unknown",PROPER(TRIM(Raw_Data!B422)))</f>
        <v>Keyboard</v>
      </c>
      <c r="C422" t="str">
        <f>IF(TRIM(Raw_Data!C422)="","South",TRIM(Raw_Data!C422))</f>
        <v>South</v>
      </c>
      <c r="D422">
        <f>IF(TRIM(Raw_Data!D422)="",30435.80739,Raw_Data!D422)</f>
        <v>56439.44</v>
      </c>
      <c r="E422" t="str">
        <f>TEXT(Raw_Data!E422,"DD-MM-YYYY")</f>
        <v>17-05-2024</v>
      </c>
    </row>
    <row r="423" spans="1:5" x14ac:dyDescent="0.3">
      <c r="A423">
        <v>1421</v>
      </c>
      <c r="B423" t="str">
        <f>IF(TRIM(Raw_Data!B423)="","Unknown",PROPER(TRIM(Raw_Data!B423)))</f>
        <v>Mouse</v>
      </c>
      <c r="C423" t="str">
        <f>IF(TRIM(Raw_Data!C423)="","South",TRIM(Raw_Data!C423))</f>
        <v>West</v>
      </c>
      <c r="D423">
        <f>IF(TRIM(Raw_Data!D423)="",30435.80739,Raw_Data!D423)</f>
        <v>1490.88</v>
      </c>
      <c r="E423" t="str">
        <f>TEXT(Raw_Data!E423,"DD-MM-YYYY")</f>
        <v>23-02-2024</v>
      </c>
    </row>
    <row r="424" spans="1:5" x14ac:dyDescent="0.3">
      <c r="A424">
        <v>1422</v>
      </c>
      <c r="B424" t="str">
        <f>IF(TRIM(Raw_Data!B424)="","Unknown",PROPER(TRIM(Raw_Data!B424)))</f>
        <v>Tablet</v>
      </c>
      <c r="C424" t="str">
        <f>IF(TRIM(Raw_Data!C424)="","South",TRIM(Raw_Data!C424))</f>
        <v>West</v>
      </c>
      <c r="D424">
        <f>IF(TRIM(Raw_Data!D424)="",30435.80739,Raw_Data!D424)</f>
        <v>31250.86</v>
      </c>
      <c r="E424" t="str">
        <f>TEXT(Raw_Data!E424,"DD-MM-YYYY")</f>
        <v>04-09-2024</v>
      </c>
    </row>
    <row r="425" spans="1:5" x14ac:dyDescent="0.3">
      <c r="A425">
        <v>1423</v>
      </c>
      <c r="B425" t="str">
        <f>IF(TRIM(Raw_Data!B425)="","Unknown",PROPER(TRIM(Raw_Data!B425)))</f>
        <v>Tablet</v>
      </c>
      <c r="C425" t="str">
        <f>IF(TRIM(Raw_Data!C425)="","South",TRIM(Raw_Data!C425))</f>
        <v>East</v>
      </c>
      <c r="D425">
        <f>IF(TRIM(Raw_Data!D425)="",30435.80739,Raw_Data!D425)</f>
        <v>39585.65</v>
      </c>
      <c r="E425" t="str">
        <f>TEXT(Raw_Data!E425,"DD-MM-YYYY")</f>
        <v>01-09-2024</v>
      </c>
    </row>
    <row r="426" spans="1:5" x14ac:dyDescent="0.3">
      <c r="A426">
        <v>1836</v>
      </c>
      <c r="B426" t="str">
        <f>IF(TRIM(Raw_Data!B426)="","Unknown",PROPER(TRIM(Raw_Data!B426)))</f>
        <v>Monitor</v>
      </c>
      <c r="C426" t="str">
        <f>IF(TRIM(Raw_Data!C426)="","South",TRIM(Raw_Data!C426))</f>
        <v>South</v>
      </c>
      <c r="D426">
        <f>IF(TRIM(Raw_Data!D426)="",30435.80739,Raw_Data!D426)</f>
        <v>15606.03</v>
      </c>
      <c r="E426" t="str">
        <f>TEXT(Raw_Data!E426,"DD-MM-YYYY")</f>
        <v>22-10-2024</v>
      </c>
    </row>
    <row r="427" spans="1:5" x14ac:dyDescent="0.3">
      <c r="A427">
        <v>1425</v>
      </c>
      <c r="B427" t="str">
        <f>IF(TRIM(Raw_Data!B427)="","Unknown",PROPER(TRIM(Raw_Data!B427)))</f>
        <v>Keyboard</v>
      </c>
      <c r="C427" t="str">
        <f>IF(TRIM(Raw_Data!C427)="","South",TRIM(Raw_Data!C427))</f>
        <v>East</v>
      </c>
      <c r="D427">
        <f>IF(TRIM(Raw_Data!D427)="",30435.80739,Raw_Data!D427)</f>
        <v>20649.060000000001</v>
      </c>
      <c r="E427" t="str">
        <f>TEXT(Raw_Data!E427,"DD-MM-YYYY")</f>
        <v>03-12-2024</v>
      </c>
    </row>
    <row r="428" spans="1:5" x14ac:dyDescent="0.3">
      <c r="A428">
        <v>1426</v>
      </c>
      <c r="B428" t="str">
        <f>IF(TRIM(Raw_Data!B428)="","Unknown",PROPER(TRIM(Raw_Data!B428)))</f>
        <v>Monitor</v>
      </c>
      <c r="C428" t="str">
        <f>IF(TRIM(Raw_Data!C428)="","South",TRIM(Raw_Data!C428))</f>
        <v>North</v>
      </c>
      <c r="D428">
        <f>IF(TRIM(Raw_Data!D428)="",30435.80739,Raw_Data!D428)</f>
        <v>44830.01</v>
      </c>
      <c r="E428" t="str">
        <f>TEXT(Raw_Data!E428,"DD-MM-YYYY")</f>
        <v>31-03-2024</v>
      </c>
    </row>
    <row r="429" spans="1:5" x14ac:dyDescent="0.3">
      <c r="A429">
        <v>1427</v>
      </c>
      <c r="B429" t="str">
        <f>IF(TRIM(Raw_Data!B429)="","Unknown",PROPER(TRIM(Raw_Data!B429)))</f>
        <v>Mouse</v>
      </c>
      <c r="C429" t="str">
        <f>IF(TRIM(Raw_Data!C429)="","South",TRIM(Raw_Data!C429))</f>
        <v>East</v>
      </c>
      <c r="D429">
        <f>IF(TRIM(Raw_Data!D429)="",30435.80739,Raw_Data!D429)</f>
        <v>16862.36</v>
      </c>
      <c r="E429" t="str">
        <f>TEXT(Raw_Data!E429,"DD-MM-YYYY")</f>
        <v>10-10-2024</v>
      </c>
    </row>
    <row r="430" spans="1:5" x14ac:dyDescent="0.3">
      <c r="A430">
        <v>1428</v>
      </c>
      <c r="B430" t="str">
        <f>IF(TRIM(Raw_Data!B430)="","Unknown",PROPER(TRIM(Raw_Data!B430)))</f>
        <v>Keyboard</v>
      </c>
      <c r="C430" t="str">
        <f>IF(TRIM(Raw_Data!C430)="","South",TRIM(Raw_Data!C430))</f>
        <v>North</v>
      </c>
      <c r="D430">
        <f>IF(TRIM(Raw_Data!D430)="",30435.80739,Raw_Data!D430)</f>
        <v>38639.300000000003</v>
      </c>
      <c r="E430" t="str">
        <f>TEXT(Raw_Data!E430,"DD-MM-YYYY")</f>
        <v>17-08-2024</v>
      </c>
    </row>
    <row r="431" spans="1:5" x14ac:dyDescent="0.3">
      <c r="A431">
        <v>1429</v>
      </c>
      <c r="B431" t="str">
        <f>IF(TRIM(Raw_Data!B431)="","Unknown",PROPER(TRIM(Raw_Data!B431)))</f>
        <v>Mouse</v>
      </c>
      <c r="C431" t="str">
        <f>IF(TRIM(Raw_Data!C431)="","South",TRIM(Raw_Data!C431))</f>
        <v>North</v>
      </c>
      <c r="D431">
        <f>IF(TRIM(Raw_Data!D431)="",30435.80739,Raw_Data!D431)</f>
        <v>18250.599999999999</v>
      </c>
      <c r="E431" t="str">
        <f>TEXT(Raw_Data!E431,"DD-MM-YYYY")</f>
        <v>18-05-2024</v>
      </c>
    </row>
    <row r="432" spans="1:5" x14ac:dyDescent="0.3">
      <c r="A432">
        <v>1430</v>
      </c>
      <c r="B432" t="str">
        <f>IF(TRIM(Raw_Data!B432)="","Unknown",PROPER(TRIM(Raw_Data!B432)))</f>
        <v>Keyboard</v>
      </c>
      <c r="C432" t="str">
        <f>IF(TRIM(Raw_Data!C432)="","South",TRIM(Raw_Data!C432))</f>
        <v>North</v>
      </c>
      <c r="D432">
        <f>IF(TRIM(Raw_Data!D432)="",30435.80739,Raw_Data!D432)</f>
        <v>30435.807390000002</v>
      </c>
      <c r="E432" t="str">
        <f>TEXT(Raw_Data!E432,"DD-MM-YYYY")</f>
        <v>25-07-2024</v>
      </c>
    </row>
    <row r="433" spans="1:5" x14ac:dyDescent="0.3">
      <c r="A433">
        <v>1431</v>
      </c>
      <c r="B433" t="str">
        <f>IF(TRIM(Raw_Data!B433)="","Unknown",PROPER(TRIM(Raw_Data!B433)))</f>
        <v>Unknown</v>
      </c>
      <c r="C433" t="str">
        <f>IF(TRIM(Raw_Data!C433)="","South",TRIM(Raw_Data!C433))</f>
        <v>West</v>
      </c>
      <c r="D433">
        <f>IF(TRIM(Raw_Data!D433)="",30435.80739,Raw_Data!D433)</f>
        <v>7600.96</v>
      </c>
      <c r="E433" t="str">
        <f>TEXT(Raw_Data!E433,"DD-MM-YYYY")</f>
        <v>12-05-2024</v>
      </c>
    </row>
    <row r="434" spans="1:5" x14ac:dyDescent="0.3">
      <c r="A434">
        <v>1432</v>
      </c>
      <c r="B434" t="str">
        <f>IF(TRIM(Raw_Data!B434)="","Unknown",PROPER(TRIM(Raw_Data!B434)))</f>
        <v>Laptop</v>
      </c>
      <c r="C434" t="str">
        <f>IF(TRIM(Raw_Data!C434)="","South",TRIM(Raw_Data!C434))</f>
        <v>South</v>
      </c>
      <c r="D434">
        <f>IF(TRIM(Raw_Data!D434)="",30435.80739,Raw_Data!D434)</f>
        <v>48544.83</v>
      </c>
      <c r="E434" t="str">
        <f>TEXT(Raw_Data!E434,"DD-MM-YYYY")</f>
        <v>08-05-2024</v>
      </c>
    </row>
    <row r="435" spans="1:5" x14ac:dyDescent="0.3">
      <c r="A435">
        <v>1433</v>
      </c>
      <c r="B435" t="str">
        <f>IF(TRIM(Raw_Data!B435)="","Unknown",PROPER(TRIM(Raw_Data!B435)))</f>
        <v>Keyboard</v>
      </c>
      <c r="C435" t="str">
        <f>IF(TRIM(Raw_Data!C435)="","South",TRIM(Raw_Data!C435))</f>
        <v>North</v>
      </c>
      <c r="D435">
        <f>IF(TRIM(Raw_Data!D435)="",30435.80739,Raw_Data!D435)</f>
        <v>49884.78</v>
      </c>
      <c r="E435" t="str">
        <f>TEXT(Raw_Data!E435,"DD-MM-YYYY")</f>
        <v>01-06-2024</v>
      </c>
    </row>
    <row r="436" spans="1:5" x14ac:dyDescent="0.3">
      <c r="A436">
        <v>1434</v>
      </c>
      <c r="B436" t="str">
        <f>IF(TRIM(Raw_Data!B436)="","Unknown",PROPER(TRIM(Raw_Data!B436)))</f>
        <v>Tablet</v>
      </c>
      <c r="C436" t="str">
        <f>IF(TRIM(Raw_Data!C436)="","South",TRIM(Raw_Data!C436))</f>
        <v>West</v>
      </c>
      <c r="D436">
        <f>IF(TRIM(Raw_Data!D436)="",30435.80739,Raw_Data!D436)</f>
        <v>17018.43</v>
      </c>
      <c r="E436" t="str">
        <f>TEXT(Raw_Data!E436,"DD-MM-YYYY")</f>
        <v>01-12-2024</v>
      </c>
    </row>
    <row r="437" spans="1:5" x14ac:dyDescent="0.3">
      <c r="A437">
        <v>1435</v>
      </c>
      <c r="B437" t="str">
        <f>IF(TRIM(Raw_Data!B437)="","Unknown",PROPER(TRIM(Raw_Data!B437)))</f>
        <v>Tablet</v>
      </c>
      <c r="C437" t="str">
        <f>IF(TRIM(Raw_Data!C437)="","South",TRIM(Raw_Data!C437))</f>
        <v>East</v>
      </c>
      <c r="D437">
        <f>IF(TRIM(Raw_Data!D437)="",30435.80739,Raw_Data!D437)</f>
        <v>51670.19</v>
      </c>
      <c r="E437" t="str">
        <f>TEXT(Raw_Data!E437,"DD-MM-YYYY")</f>
        <v>27-03-2024</v>
      </c>
    </row>
    <row r="438" spans="1:5" x14ac:dyDescent="0.3">
      <c r="A438">
        <v>1436</v>
      </c>
      <c r="B438" t="str">
        <f>IF(TRIM(Raw_Data!B438)="","Unknown",PROPER(TRIM(Raw_Data!B438)))</f>
        <v>Keyboard</v>
      </c>
      <c r="C438" t="str">
        <f>IF(TRIM(Raw_Data!C438)="","South",TRIM(Raw_Data!C438))</f>
        <v>East</v>
      </c>
      <c r="D438">
        <f>IF(TRIM(Raw_Data!D438)="",30435.80739,Raw_Data!D438)</f>
        <v>40745.08</v>
      </c>
      <c r="E438" t="str">
        <f>TEXT(Raw_Data!E438,"DD-MM-YYYY")</f>
        <v>20-05-2024</v>
      </c>
    </row>
    <row r="439" spans="1:5" x14ac:dyDescent="0.3">
      <c r="A439">
        <v>1437</v>
      </c>
      <c r="B439" t="str">
        <f>IF(TRIM(Raw_Data!B439)="","Unknown",PROPER(TRIM(Raw_Data!B439)))</f>
        <v>Laptop</v>
      </c>
      <c r="C439" t="str">
        <f>IF(TRIM(Raw_Data!C439)="","South",TRIM(Raw_Data!C439))</f>
        <v>North</v>
      </c>
      <c r="D439">
        <f>IF(TRIM(Raw_Data!D439)="",30435.80739,Raw_Data!D439)</f>
        <v>32381.46</v>
      </c>
      <c r="E439" t="str">
        <f>TEXT(Raw_Data!E439,"DD-MM-YYYY")</f>
        <v>17-04-2024</v>
      </c>
    </row>
    <row r="440" spans="1:5" x14ac:dyDescent="0.3">
      <c r="A440">
        <v>1438</v>
      </c>
      <c r="B440" t="str">
        <f>IF(TRIM(Raw_Data!B440)="","Unknown",PROPER(TRIM(Raw_Data!B440)))</f>
        <v>Unknown</v>
      </c>
      <c r="C440" t="str">
        <f>IF(TRIM(Raw_Data!C440)="","South",TRIM(Raw_Data!C440))</f>
        <v>West</v>
      </c>
      <c r="D440">
        <f>IF(TRIM(Raw_Data!D440)="",30435.80739,Raw_Data!D440)</f>
        <v>15250.67</v>
      </c>
      <c r="E440" t="str">
        <f>TEXT(Raw_Data!E440,"DD-MM-YYYY")</f>
        <v>17-05-2024</v>
      </c>
    </row>
    <row r="441" spans="1:5" x14ac:dyDescent="0.3">
      <c r="A441">
        <v>1439</v>
      </c>
      <c r="B441" t="str">
        <f>IF(TRIM(Raw_Data!B441)="","Unknown",PROPER(TRIM(Raw_Data!B441)))</f>
        <v>Laptop</v>
      </c>
      <c r="C441" t="str">
        <f>IF(TRIM(Raw_Data!C441)="","South",TRIM(Raw_Data!C441))</f>
        <v>South</v>
      </c>
      <c r="D441">
        <f>IF(TRIM(Raw_Data!D441)="",30435.80739,Raw_Data!D441)</f>
        <v>15380.04</v>
      </c>
      <c r="E441" t="str">
        <f>TEXT(Raw_Data!E441,"DD-MM-YYYY")</f>
        <v>06-05-2024</v>
      </c>
    </row>
    <row r="442" spans="1:5" x14ac:dyDescent="0.3">
      <c r="A442">
        <v>1440</v>
      </c>
      <c r="B442" t="str">
        <f>IF(TRIM(Raw_Data!B442)="","Unknown",PROPER(TRIM(Raw_Data!B442)))</f>
        <v>Tablet</v>
      </c>
      <c r="C442" t="str">
        <f>IF(TRIM(Raw_Data!C442)="","South",TRIM(Raw_Data!C442))</f>
        <v>West</v>
      </c>
      <c r="D442">
        <f>IF(TRIM(Raw_Data!D442)="",30435.80739,Raw_Data!D442)</f>
        <v>25530.73</v>
      </c>
      <c r="E442" t="str">
        <f>TEXT(Raw_Data!E442,"DD-MM-YYYY")</f>
        <v>19-01-2024</v>
      </c>
    </row>
    <row r="443" spans="1:5" x14ac:dyDescent="0.3">
      <c r="A443">
        <v>1441</v>
      </c>
      <c r="B443" t="str">
        <f>IF(TRIM(Raw_Data!B443)="","Unknown",PROPER(TRIM(Raw_Data!B443)))</f>
        <v>Keyboard</v>
      </c>
      <c r="C443" t="str">
        <f>IF(TRIM(Raw_Data!C443)="","South",TRIM(Raw_Data!C443))</f>
        <v>East</v>
      </c>
      <c r="D443">
        <f>IF(TRIM(Raw_Data!D443)="",30435.80739,Raw_Data!D443)</f>
        <v>34949.15</v>
      </c>
      <c r="E443" t="str">
        <f>TEXT(Raw_Data!E443,"DD-MM-YYYY")</f>
        <v>02-04-2024</v>
      </c>
    </row>
    <row r="444" spans="1:5" x14ac:dyDescent="0.3">
      <c r="A444">
        <v>1442</v>
      </c>
      <c r="B444" t="str">
        <f>IF(TRIM(Raw_Data!B444)="","Unknown",PROPER(TRIM(Raw_Data!B444)))</f>
        <v>Tablet</v>
      </c>
      <c r="C444" t="str">
        <f>IF(TRIM(Raw_Data!C444)="","South",TRIM(Raw_Data!C444))</f>
        <v>West</v>
      </c>
      <c r="D444">
        <f>IF(TRIM(Raw_Data!D444)="",30435.80739,Raw_Data!D444)</f>
        <v>41832.35</v>
      </c>
      <c r="E444" t="str">
        <f>TEXT(Raw_Data!E444,"DD-MM-YYYY")</f>
        <v>11-03-2024</v>
      </c>
    </row>
    <row r="445" spans="1:5" x14ac:dyDescent="0.3">
      <c r="A445">
        <v>1443</v>
      </c>
      <c r="B445" t="str">
        <f>IF(TRIM(Raw_Data!B445)="","Unknown",PROPER(TRIM(Raw_Data!B445)))</f>
        <v>Mouse</v>
      </c>
      <c r="C445" t="str">
        <f>IF(TRIM(Raw_Data!C445)="","South",TRIM(Raw_Data!C445))</f>
        <v>West</v>
      </c>
      <c r="D445">
        <f>IF(TRIM(Raw_Data!D445)="",30435.80739,Raw_Data!D445)</f>
        <v>46812.87</v>
      </c>
      <c r="E445" t="str">
        <f>TEXT(Raw_Data!E445,"DD-MM-YYYY")</f>
        <v>02-03-2024</v>
      </c>
    </row>
    <row r="446" spans="1:5" x14ac:dyDescent="0.3">
      <c r="A446">
        <v>1444</v>
      </c>
      <c r="B446" t="str">
        <f>IF(TRIM(Raw_Data!B446)="","Unknown",PROPER(TRIM(Raw_Data!B446)))</f>
        <v>Mouse</v>
      </c>
      <c r="C446" t="str">
        <f>IF(TRIM(Raw_Data!C446)="","South",TRIM(Raw_Data!C446))</f>
        <v>South</v>
      </c>
      <c r="D446">
        <f>IF(TRIM(Raw_Data!D446)="",30435.80739,Raw_Data!D446)</f>
        <v>15943.07</v>
      </c>
      <c r="E446" t="str">
        <f>TEXT(Raw_Data!E446,"DD-MM-YYYY")</f>
        <v>25-01-2024</v>
      </c>
    </row>
    <row r="447" spans="1:5" x14ac:dyDescent="0.3">
      <c r="A447">
        <v>1445</v>
      </c>
      <c r="B447" t="str">
        <f>IF(TRIM(Raw_Data!B447)="","Unknown",PROPER(TRIM(Raw_Data!B447)))</f>
        <v>Tablet</v>
      </c>
      <c r="C447" t="str">
        <f>IF(TRIM(Raw_Data!C447)="","South",TRIM(Raw_Data!C447))</f>
        <v>North</v>
      </c>
      <c r="D447">
        <f>IF(TRIM(Raw_Data!D447)="",30435.80739,Raw_Data!D447)</f>
        <v>8515.7999999999993</v>
      </c>
      <c r="E447" t="str">
        <f>TEXT(Raw_Data!E447,"DD-MM-YYYY")</f>
        <v>27-04-2024</v>
      </c>
    </row>
    <row r="448" spans="1:5" x14ac:dyDescent="0.3">
      <c r="A448">
        <v>1446</v>
      </c>
      <c r="B448" t="str">
        <f>IF(TRIM(Raw_Data!B448)="","Unknown",PROPER(TRIM(Raw_Data!B448)))</f>
        <v>Mouse</v>
      </c>
      <c r="C448" t="str">
        <f>IF(TRIM(Raw_Data!C448)="","South",TRIM(Raw_Data!C448))</f>
        <v>South</v>
      </c>
      <c r="D448">
        <f>IF(TRIM(Raw_Data!D448)="",30435.80739,Raw_Data!D448)</f>
        <v>5466.28</v>
      </c>
      <c r="E448" t="str">
        <f>TEXT(Raw_Data!E448,"DD-MM-YYYY")</f>
        <v>30-01-2024</v>
      </c>
    </row>
    <row r="449" spans="1:5" x14ac:dyDescent="0.3">
      <c r="A449">
        <v>1447</v>
      </c>
      <c r="B449" t="str">
        <f>IF(TRIM(Raw_Data!B449)="","Unknown",PROPER(TRIM(Raw_Data!B449)))</f>
        <v>Tablet</v>
      </c>
      <c r="C449" t="str">
        <f>IF(TRIM(Raw_Data!C449)="","South",TRIM(Raw_Data!C449))</f>
        <v>South</v>
      </c>
      <c r="D449">
        <f>IF(TRIM(Raw_Data!D449)="",30435.80739,Raw_Data!D449)</f>
        <v>11721.67</v>
      </c>
      <c r="E449" t="str">
        <f>TEXT(Raw_Data!E449,"DD-MM-YYYY")</f>
        <v>25-12-2024</v>
      </c>
    </row>
    <row r="450" spans="1:5" x14ac:dyDescent="0.3">
      <c r="A450">
        <v>1448</v>
      </c>
      <c r="B450" t="str">
        <f>IF(TRIM(Raw_Data!B450)="","Unknown",PROPER(TRIM(Raw_Data!B450)))</f>
        <v>Laptop</v>
      </c>
      <c r="C450" t="str">
        <f>IF(TRIM(Raw_Data!C450)="","South",TRIM(Raw_Data!C450))</f>
        <v>South</v>
      </c>
      <c r="D450">
        <f>IF(TRIM(Raw_Data!D450)="",30435.80739,Raw_Data!D450)</f>
        <v>26574.86</v>
      </c>
      <c r="E450" t="str">
        <f>TEXT(Raw_Data!E450,"DD-MM-YYYY")</f>
        <v>08-08-2024</v>
      </c>
    </row>
    <row r="451" spans="1:5" x14ac:dyDescent="0.3">
      <c r="A451">
        <v>1449</v>
      </c>
      <c r="B451" t="str">
        <f>IF(TRIM(Raw_Data!B451)="","Unknown",PROPER(TRIM(Raw_Data!B451)))</f>
        <v>Mouse</v>
      </c>
      <c r="C451" t="str">
        <f>IF(TRIM(Raw_Data!C451)="","South",TRIM(Raw_Data!C451))</f>
        <v>West</v>
      </c>
      <c r="D451">
        <f>IF(TRIM(Raw_Data!D451)="",30435.80739,Raw_Data!D451)</f>
        <v>22804.880000000001</v>
      </c>
      <c r="E451" t="str">
        <f>TEXT(Raw_Data!E451,"DD-MM-YYYY")</f>
        <v>29-02-2024</v>
      </c>
    </row>
    <row r="452" spans="1:5" x14ac:dyDescent="0.3">
      <c r="A452">
        <v>1450</v>
      </c>
      <c r="B452" t="str">
        <f>IF(TRIM(Raw_Data!B452)="","Unknown",PROPER(TRIM(Raw_Data!B452)))</f>
        <v>Unknown</v>
      </c>
      <c r="C452" t="str">
        <f>IF(TRIM(Raw_Data!C452)="","South",TRIM(Raw_Data!C452))</f>
        <v>West</v>
      </c>
      <c r="D452">
        <f>IF(TRIM(Raw_Data!D452)="",30435.80739,Raw_Data!D452)</f>
        <v>29555.37</v>
      </c>
      <c r="E452" t="str">
        <f>TEXT(Raw_Data!E452,"DD-MM-YYYY")</f>
        <v>13-12-2024</v>
      </c>
    </row>
    <row r="453" spans="1:5" x14ac:dyDescent="0.3">
      <c r="A453">
        <v>1451</v>
      </c>
      <c r="B453" t="str">
        <f>IF(TRIM(Raw_Data!B453)="","Unknown",PROPER(TRIM(Raw_Data!B453)))</f>
        <v>Unknown</v>
      </c>
      <c r="C453" t="str">
        <f>IF(TRIM(Raw_Data!C453)="","South",TRIM(Raw_Data!C453))</f>
        <v>East</v>
      </c>
      <c r="D453">
        <f>IF(TRIM(Raw_Data!D453)="",30435.80739,Raw_Data!D453)</f>
        <v>33333.910000000003</v>
      </c>
      <c r="E453" t="str">
        <f>TEXT(Raw_Data!E453,"DD-MM-YYYY")</f>
        <v>13-11-2024</v>
      </c>
    </row>
    <row r="454" spans="1:5" x14ac:dyDescent="0.3">
      <c r="A454">
        <v>1452</v>
      </c>
      <c r="B454" t="str">
        <f>IF(TRIM(Raw_Data!B454)="","Unknown",PROPER(TRIM(Raw_Data!B454)))</f>
        <v>Tablet</v>
      </c>
      <c r="C454" t="str">
        <f>IF(TRIM(Raw_Data!C454)="","South",TRIM(Raw_Data!C454))</f>
        <v>South</v>
      </c>
      <c r="D454">
        <f>IF(TRIM(Raw_Data!D454)="",30435.80739,Raw_Data!D454)</f>
        <v>11022.98</v>
      </c>
      <c r="E454" t="str">
        <f>TEXT(Raw_Data!E454,"DD-MM-YYYY")</f>
        <v>21-09-2024</v>
      </c>
    </row>
    <row r="455" spans="1:5" x14ac:dyDescent="0.3">
      <c r="A455">
        <v>1453</v>
      </c>
      <c r="B455" t="str">
        <f>IF(TRIM(Raw_Data!B455)="","Unknown",PROPER(TRIM(Raw_Data!B455)))</f>
        <v>Keyboard</v>
      </c>
      <c r="C455" t="str">
        <f>IF(TRIM(Raw_Data!C455)="","South",TRIM(Raw_Data!C455))</f>
        <v>South</v>
      </c>
      <c r="D455">
        <f>IF(TRIM(Raw_Data!D455)="",30435.80739,Raw_Data!D455)</f>
        <v>46683.86</v>
      </c>
      <c r="E455" t="str">
        <f>TEXT(Raw_Data!E455,"DD-MM-YYYY")</f>
        <v>01-09-2024</v>
      </c>
    </row>
    <row r="456" spans="1:5" x14ac:dyDescent="0.3">
      <c r="A456">
        <v>1454</v>
      </c>
      <c r="B456" t="str">
        <f>IF(TRIM(Raw_Data!B456)="","Unknown",PROPER(TRIM(Raw_Data!B456)))</f>
        <v>Tablet</v>
      </c>
      <c r="C456" t="str">
        <f>IF(TRIM(Raw_Data!C456)="","South",TRIM(Raw_Data!C456))</f>
        <v>West</v>
      </c>
      <c r="D456">
        <f>IF(TRIM(Raw_Data!D456)="",30435.80739,Raw_Data!D456)</f>
        <v>19515.78</v>
      </c>
      <c r="E456" t="str">
        <f>TEXT(Raw_Data!E456,"DD-MM-YYYY")</f>
        <v>09-02-2024</v>
      </c>
    </row>
    <row r="457" spans="1:5" x14ac:dyDescent="0.3">
      <c r="A457">
        <v>1455</v>
      </c>
      <c r="B457" t="str">
        <f>IF(TRIM(Raw_Data!B457)="","Unknown",PROPER(TRIM(Raw_Data!B457)))</f>
        <v>Monitor</v>
      </c>
      <c r="C457" t="str">
        <f>IF(TRIM(Raw_Data!C457)="","South",TRIM(Raw_Data!C457))</f>
        <v>East</v>
      </c>
      <c r="D457">
        <f>IF(TRIM(Raw_Data!D457)="",30435.80739,Raw_Data!D457)</f>
        <v>35495.42</v>
      </c>
      <c r="E457" t="str">
        <f>TEXT(Raw_Data!E457,"DD-MM-YYYY")</f>
        <v>26-06-2024</v>
      </c>
    </row>
    <row r="458" spans="1:5" x14ac:dyDescent="0.3">
      <c r="A458">
        <v>1456</v>
      </c>
      <c r="B458" t="str">
        <f>IF(TRIM(Raw_Data!B458)="","Unknown",PROPER(TRIM(Raw_Data!B458)))</f>
        <v>Monitor</v>
      </c>
      <c r="C458" t="str">
        <f>IF(TRIM(Raw_Data!C458)="","South",TRIM(Raw_Data!C458))</f>
        <v>South</v>
      </c>
      <c r="D458">
        <f>IF(TRIM(Raw_Data!D458)="",30435.80739,Raw_Data!D458)</f>
        <v>16579.66</v>
      </c>
      <c r="E458" t="str">
        <f>TEXT(Raw_Data!E458,"DD-MM-YYYY")</f>
        <v>14-06-2024</v>
      </c>
    </row>
    <row r="459" spans="1:5" x14ac:dyDescent="0.3">
      <c r="A459">
        <v>1457</v>
      </c>
      <c r="B459" t="str">
        <f>IF(TRIM(Raw_Data!B459)="","Unknown",PROPER(TRIM(Raw_Data!B459)))</f>
        <v>Keyboard</v>
      </c>
      <c r="C459" t="str">
        <f>IF(TRIM(Raw_Data!C459)="","South",TRIM(Raw_Data!C459))</f>
        <v>West</v>
      </c>
      <c r="D459">
        <f>IF(TRIM(Raw_Data!D459)="",30435.80739,Raw_Data!D459)</f>
        <v>39627.839999999997</v>
      </c>
      <c r="E459" t="str">
        <f>TEXT(Raw_Data!E459,"DD-MM-YYYY")</f>
        <v>04-10-2024</v>
      </c>
    </row>
    <row r="460" spans="1:5" x14ac:dyDescent="0.3">
      <c r="A460">
        <v>1458</v>
      </c>
      <c r="B460" t="str">
        <f>IF(TRIM(Raw_Data!B460)="","Unknown",PROPER(TRIM(Raw_Data!B460)))</f>
        <v>Monitor</v>
      </c>
      <c r="C460" t="str">
        <f>IF(TRIM(Raw_Data!C460)="","South",TRIM(Raw_Data!C460))</f>
        <v>East</v>
      </c>
      <c r="D460">
        <f>IF(TRIM(Raw_Data!D460)="",30435.80739,Raw_Data!D460)</f>
        <v>47415.79</v>
      </c>
      <c r="E460" t="str">
        <f>TEXT(Raw_Data!E460,"DD-MM-YYYY")</f>
        <v>22-12-2024</v>
      </c>
    </row>
    <row r="461" spans="1:5" x14ac:dyDescent="0.3">
      <c r="A461">
        <v>1459</v>
      </c>
      <c r="B461" t="str">
        <f>IF(TRIM(Raw_Data!B461)="","Unknown",PROPER(TRIM(Raw_Data!B461)))</f>
        <v>Keyboard</v>
      </c>
      <c r="C461" t="str">
        <f>IF(TRIM(Raw_Data!C461)="","South",TRIM(Raw_Data!C461))</f>
        <v>North</v>
      </c>
      <c r="D461">
        <f>IF(TRIM(Raw_Data!D461)="",30435.80739,Raw_Data!D461)</f>
        <v>53419.38</v>
      </c>
      <c r="E461" t="str">
        <f>TEXT(Raw_Data!E461,"DD-MM-YYYY")</f>
        <v>19-03-2024</v>
      </c>
    </row>
    <row r="462" spans="1:5" x14ac:dyDescent="0.3">
      <c r="A462">
        <v>1460</v>
      </c>
      <c r="B462" t="str">
        <f>IF(TRIM(Raw_Data!B462)="","Unknown",PROPER(TRIM(Raw_Data!B462)))</f>
        <v>Tablet</v>
      </c>
      <c r="C462" t="str">
        <f>IF(TRIM(Raw_Data!C462)="","South",TRIM(Raw_Data!C462))</f>
        <v>East</v>
      </c>
      <c r="D462">
        <f>IF(TRIM(Raw_Data!D462)="",30435.80739,Raw_Data!D462)</f>
        <v>20192.150000000001</v>
      </c>
      <c r="E462" t="str">
        <f>TEXT(Raw_Data!E462,"DD-MM-YYYY")</f>
        <v>13-04-2024</v>
      </c>
    </row>
    <row r="463" spans="1:5" x14ac:dyDescent="0.3">
      <c r="A463">
        <v>1461</v>
      </c>
      <c r="B463" t="str">
        <f>IF(TRIM(Raw_Data!B463)="","Unknown",PROPER(TRIM(Raw_Data!B463)))</f>
        <v>Tablet</v>
      </c>
      <c r="C463" t="str">
        <f>IF(TRIM(Raw_Data!C463)="","South",TRIM(Raw_Data!C463))</f>
        <v>North</v>
      </c>
      <c r="D463">
        <f>IF(TRIM(Raw_Data!D463)="",30435.80739,Raw_Data!D463)</f>
        <v>49772.47</v>
      </c>
      <c r="E463" t="str">
        <f>TEXT(Raw_Data!E463,"DD-MM-YYYY")</f>
        <v>19-05-2024</v>
      </c>
    </row>
    <row r="464" spans="1:5" x14ac:dyDescent="0.3">
      <c r="A464">
        <v>1462</v>
      </c>
      <c r="B464" t="str">
        <f>IF(TRIM(Raw_Data!B464)="","Unknown",PROPER(TRIM(Raw_Data!B464)))</f>
        <v>Monitor</v>
      </c>
      <c r="C464" t="str">
        <f>IF(TRIM(Raw_Data!C464)="","South",TRIM(Raw_Data!C464))</f>
        <v>South</v>
      </c>
      <c r="D464">
        <f>IF(TRIM(Raw_Data!D464)="",30435.80739,Raw_Data!D464)</f>
        <v>3380.7</v>
      </c>
      <c r="E464" t="str">
        <f>TEXT(Raw_Data!E464,"DD-MM-YYYY")</f>
        <v>09-09-2024</v>
      </c>
    </row>
    <row r="465" spans="1:5" x14ac:dyDescent="0.3">
      <c r="A465">
        <v>1463</v>
      </c>
      <c r="B465" t="str">
        <f>IF(TRIM(Raw_Data!B465)="","Unknown",PROPER(TRIM(Raw_Data!B465)))</f>
        <v>Keyboard</v>
      </c>
      <c r="C465" t="str">
        <f>IF(TRIM(Raw_Data!C465)="","South",TRIM(Raw_Data!C465))</f>
        <v>East</v>
      </c>
      <c r="D465">
        <f>IF(TRIM(Raw_Data!D465)="",30435.80739,Raw_Data!D465)</f>
        <v>30435.807390000002</v>
      </c>
      <c r="E465" t="str">
        <f>TEXT(Raw_Data!E465,"DD-MM-YYYY")</f>
        <v>30-10-2024</v>
      </c>
    </row>
    <row r="466" spans="1:5" x14ac:dyDescent="0.3">
      <c r="A466">
        <v>1342</v>
      </c>
      <c r="B466" t="str">
        <f>IF(TRIM(Raw_Data!B466)="","Unknown",PROPER(TRIM(Raw_Data!B466)))</f>
        <v>Tablet</v>
      </c>
      <c r="C466" t="str">
        <f>IF(TRIM(Raw_Data!C466)="","South",TRIM(Raw_Data!C466))</f>
        <v>West</v>
      </c>
      <c r="D466">
        <f>IF(TRIM(Raw_Data!D466)="",30435.80739,Raw_Data!D466)</f>
        <v>8826.0300000000007</v>
      </c>
      <c r="E466" t="str">
        <f>TEXT(Raw_Data!E466,"DD-MM-YYYY")</f>
        <v>12-09-2024</v>
      </c>
    </row>
    <row r="467" spans="1:5" x14ac:dyDescent="0.3">
      <c r="A467">
        <v>1465</v>
      </c>
      <c r="B467" t="str">
        <f>IF(TRIM(Raw_Data!B467)="","Unknown",PROPER(TRIM(Raw_Data!B467)))</f>
        <v>Monitor</v>
      </c>
      <c r="C467" t="str">
        <f>IF(TRIM(Raw_Data!C467)="","South",TRIM(Raw_Data!C467))</f>
        <v>South</v>
      </c>
      <c r="D467">
        <f>IF(TRIM(Raw_Data!D467)="",30435.80739,Raw_Data!D467)</f>
        <v>59450.07</v>
      </c>
      <c r="E467" t="str">
        <f>TEXT(Raw_Data!E467,"DD-MM-YYYY")</f>
        <v>19-01-2024</v>
      </c>
    </row>
    <row r="468" spans="1:5" x14ac:dyDescent="0.3">
      <c r="A468">
        <v>1466</v>
      </c>
      <c r="B468" t="str">
        <f>IF(TRIM(Raw_Data!B468)="","Unknown",PROPER(TRIM(Raw_Data!B468)))</f>
        <v>Laptop</v>
      </c>
      <c r="C468" t="str">
        <f>IF(TRIM(Raw_Data!C468)="","South",TRIM(Raw_Data!C468))</f>
        <v>West</v>
      </c>
      <c r="D468">
        <f>IF(TRIM(Raw_Data!D468)="",30435.80739,Raw_Data!D468)</f>
        <v>55819.23</v>
      </c>
      <c r="E468" t="str">
        <f>TEXT(Raw_Data!E468,"DD-MM-YYYY")</f>
        <v>01-07-2024</v>
      </c>
    </row>
    <row r="469" spans="1:5" x14ac:dyDescent="0.3">
      <c r="A469">
        <v>1467</v>
      </c>
      <c r="B469" t="str">
        <f>IF(TRIM(Raw_Data!B469)="","Unknown",PROPER(TRIM(Raw_Data!B469)))</f>
        <v>Keyboard</v>
      </c>
      <c r="C469" t="str">
        <f>IF(TRIM(Raw_Data!C469)="","South",TRIM(Raw_Data!C469))</f>
        <v>West</v>
      </c>
      <c r="D469">
        <f>IF(TRIM(Raw_Data!D469)="",30435.80739,Raw_Data!D469)</f>
        <v>28208.85</v>
      </c>
      <c r="E469" t="str">
        <f>TEXT(Raw_Data!E469,"DD-MM-YYYY")</f>
        <v>14-06-2024</v>
      </c>
    </row>
    <row r="470" spans="1:5" x14ac:dyDescent="0.3">
      <c r="A470">
        <v>1468</v>
      </c>
      <c r="B470" t="str">
        <f>IF(TRIM(Raw_Data!B470)="","Unknown",PROPER(TRIM(Raw_Data!B470)))</f>
        <v>Mouse</v>
      </c>
      <c r="C470" t="str">
        <f>IF(TRIM(Raw_Data!C470)="","South",TRIM(Raw_Data!C470))</f>
        <v>South</v>
      </c>
      <c r="D470">
        <f>IF(TRIM(Raw_Data!D470)="",30435.80739,Raw_Data!D470)</f>
        <v>56559.83</v>
      </c>
      <c r="E470" t="str">
        <f>TEXT(Raw_Data!E470,"DD-MM-YYYY")</f>
        <v>03-10-2024</v>
      </c>
    </row>
    <row r="471" spans="1:5" x14ac:dyDescent="0.3">
      <c r="A471">
        <v>1469</v>
      </c>
      <c r="B471" t="str">
        <f>IF(TRIM(Raw_Data!B471)="","Unknown",PROPER(TRIM(Raw_Data!B471)))</f>
        <v>Monitor</v>
      </c>
      <c r="C471" t="str">
        <f>IF(TRIM(Raw_Data!C471)="","South",TRIM(Raw_Data!C471))</f>
        <v>West</v>
      </c>
      <c r="D471">
        <f>IF(TRIM(Raw_Data!D471)="",30435.80739,Raw_Data!D471)</f>
        <v>45119.87</v>
      </c>
      <c r="E471" t="str">
        <f>TEXT(Raw_Data!E471,"DD-MM-YYYY")</f>
        <v>22-11-2024</v>
      </c>
    </row>
    <row r="472" spans="1:5" x14ac:dyDescent="0.3">
      <c r="A472">
        <v>1470</v>
      </c>
      <c r="B472" t="str">
        <f>IF(TRIM(Raw_Data!B472)="","Unknown",PROPER(TRIM(Raw_Data!B472)))</f>
        <v>Tablet</v>
      </c>
      <c r="C472" t="str">
        <f>IF(TRIM(Raw_Data!C472)="","South",TRIM(Raw_Data!C472))</f>
        <v>South</v>
      </c>
      <c r="D472">
        <f>IF(TRIM(Raw_Data!D472)="",30435.80739,Raw_Data!D472)</f>
        <v>11013.98</v>
      </c>
      <c r="E472" t="str">
        <f>TEXT(Raw_Data!E472,"DD-MM-YYYY")</f>
        <v>21-04-2024</v>
      </c>
    </row>
    <row r="473" spans="1:5" x14ac:dyDescent="0.3">
      <c r="A473">
        <v>1471</v>
      </c>
      <c r="B473" t="str">
        <f>IF(TRIM(Raw_Data!B473)="","Unknown",PROPER(TRIM(Raw_Data!B473)))</f>
        <v>Laptop</v>
      </c>
      <c r="C473" t="str">
        <f>IF(TRIM(Raw_Data!C473)="","South",TRIM(Raw_Data!C473))</f>
        <v>South</v>
      </c>
      <c r="D473">
        <f>IF(TRIM(Raw_Data!D473)="",30435.80739,Raw_Data!D473)</f>
        <v>54702.57</v>
      </c>
      <c r="E473" t="str">
        <f>TEXT(Raw_Data!E473,"DD-MM-YYYY")</f>
        <v>04-06-2024</v>
      </c>
    </row>
    <row r="474" spans="1:5" x14ac:dyDescent="0.3">
      <c r="A474">
        <v>1472</v>
      </c>
      <c r="B474" t="str">
        <f>IF(TRIM(Raw_Data!B474)="","Unknown",PROPER(TRIM(Raw_Data!B474)))</f>
        <v>Monitor</v>
      </c>
      <c r="C474" t="str">
        <f>IF(TRIM(Raw_Data!C474)="","South",TRIM(Raw_Data!C474))</f>
        <v>North</v>
      </c>
      <c r="D474">
        <f>IF(TRIM(Raw_Data!D474)="",30435.80739,Raw_Data!D474)</f>
        <v>35408.26</v>
      </c>
      <c r="E474" t="str">
        <f>TEXT(Raw_Data!E474,"DD-MM-YYYY")</f>
        <v>29-12-2024</v>
      </c>
    </row>
    <row r="475" spans="1:5" x14ac:dyDescent="0.3">
      <c r="A475">
        <v>1473</v>
      </c>
      <c r="B475" t="str">
        <f>IF(TRIM(Raw_Data!B475)="","Unknown",PROPER(TRIM(Raw_Data!B475)))</f>
        <v>Mouse</v>
      </c>
      <c r="C475" t="str">
        <f>IF(TRIM(Raw_Data!C475)="","South",TRIM(Raw_Data!C475))</f>
        <v>East</v>
      </c>
      <c r="D475">
        <f>IF(TRIM(Raw_Data!D475)="",30435.80739,Raw_Data!D475)</f>
        <v>52977.41</v>
      </c>
      <c r="E475" t="str">
        <f>TEXT(Raw_Data!E475,"DD-MM-YYYY")</f>
        <v>23-05-2024</v>
      </c>
    </row>
    <row r="476" spans="1:5" x14ac:dyDescent="0.3">
      <c r="A476">
        <v>1474</v>
      </c>
      <c r="B476" t="str">
        <f>IF(TRIM(Raw_Data!B476)="","Unknown",PROPER(TRIM(Raw_Data!B476)))</f>
        <v>Laptop</v>
      </c>
      <c r="C476" t="str">
        <f>IF(TRIM(Raw_Data!C476)="","South",TRIM(Raw_Data!C476))</f>
        <v>North</v>
      </c>
      <c r="D476">
        <f>IF(TRIM(Raw_Data!D476)="",30435.80739,Raw_Data!D476)</f>
        <v>48204.33</v>
      </c>
      <c r="E476" t="str">
        <f>TEXT(Raw_Data!E476,"DD-MM-YYYY")</f>
        <v>12-09-2024</v>
      </c>
    </row>
    <row r="477" spans="1:5" x14ac:dyDescent="0.3">
      <c r="A477">
        <v>1475</v>
      </c>
      <c r="B477" t="str">
        <f>IF(TRIM(Raw_Data!B477)="","Unknown",PROPER(TRIM(Raw_Data!B477)))</f>
        <v>Mouse</v>
      </c>
      <c r="C477" t="str">
        <f>IF(TRIM(Raw_Data!C477)="","South",TRIM(Raw_Data!C477))</f>
        <v>West</v>
      </c>
      <c r="D477">
        <f>IF(TRIM(Raw_Data!D477)="",30435.80739,Raw_Data!D477)</f>
        <v>28435.56</v>
      </c>
      <c r="E477" t="str">
        <f>TEXT(Raw_Data!E477,"DD-MM-YYYY")</f>
        <v>04-04-2024</v>
      </c>
    </row>
    <row r="478" spans="1:5" x14ac:dyDescent="0.3">
      <c r="A478">
        <v>1476</v>
      </c>
      <c r="B478" t="str">
        <f>IF(TRIM(Raw_Data!B478)="","Unknown",PROPER(TRIM(Raw_Data!B478)))</f>
        <v>Mouse</v>
      </c>
      <c r="C478" t="str">
        <f>IF(TRIM(Raw_Data!C478)="","South",TRIM(Raw_Data!C478))</f>
        <v>West</v>
      </c>
      <c r="D478">
        <f>IF(TRIM(Raw_Data!D478)="",30435.80739,Raw_Data!D478)</f>
        <v>53621.69</v>
      </c>
      <c r="E478" t="str">
        <f>TEXT(Raw_Data!E478,"DD-MM-YYYY")</f>
        <v>11-01-2024</v>
      </c>
    </row>
    <row r="479" spans="1:5" x14ac:dyDescent="0.3">
      <c r="A479">
        <v>1477</v>
      </c>
      <c r="B479" t="str">
        <f>IF(TRIM(Raw_Data!B479)="","Unknown",PROPER(TRIM(Raw_Data!B479)))</f>
        <v>Monitor</v>
      </c>
      <c r="C479" t="str">
        <f>IF(TRIM(Raw_Data!C479)="","South",TRIM(Raw_Data!C479))</f>
        <v>North</v>
      </c>
      <c r="D479">
        <f>IF(TRIM(Raw_Data!D479)="",30435.80739,Raw_Data!D479)</f>
        <v>5414.45</v>
      </c>
      <c r="E479" t="str">
        <f>TEXT(Raw_Data!E479,"DD-MM-YYYY")</f>
        <v>27-09-2024</v>
      </c>
    </row>
    <row r="480" spans="1:5" x14ac:dyDescent="0.3">
      <c r="A480">
        <v>1478</v>
      </c>
      <c r="B480" t="str">
        <f>IF(TRIM(Raw_Data!B480)="","Unknown",PROPER(TRIM(Raw_Data!B480)))</f>
        <v>Tablet</v>
      </c>
      <c r="C480" t="str">
        <f>IF(TRIM(Raw_Data!C480)="","South",TRIM(Raw_Data!C480))</f>
        <v>North</v>
      </c>
      <c r="D480">
        <f>IF(TRIM(Raw_Data!D480)="",30435.80739,Raw_Data!D480)</f>
        <v>17423.740000000002</v>
      </c>
      <c r="E480" t="str">
        <f>TEXT(Raw_Data!E480,"DD-MM-YYYY")</f>
        <v>25-12-2024</v>
      </c>
    </row>
    <row r="481" spans="1:5" x14ac:dyDescent="0.3">
      <c r="A481">
        <v>1479</v>
      </c>
      <c r="B481" t="str">
        <f>IF(TRIM(Raw_Data!B481)="","Unknown",PROPER(TRIM(Raw_Data!B481)))</f>
        <v>Tablet</v>
      </c>
      <c r="C481" t="str">
        <f>IF(TRIM(Raw_Data!C481)="","South",TRIM(Raw_Data!C481))</f>
        <v>South</v>
      </c>
      <c r="D481">
        <f>IF(TRIM(Raw_Data!D481)="",30435.80739,Raw_Data!D481)</f>
        <v>22570.15</v>
      </c>
      <c r="E481" t="str">
        <f>TEXT(Raw_Data!E481,"DD-MM-YYYY")</f>
        <v>04-05-2024</v>
      </c>
    </row>
    <row r="482" spans="1:5" x14ac:dyDescent="0.3">
      <c r="A482">
        <v>1480</v>
      </c>
      <c r="B482" t="str">
        <f>IF(TRIM(Raw_Data!B482)="","Unknown",PROPER(TRIM(Raw_Data!B482)))</f>
        <v>Mouse</v>
      </c>
      <c r="C482" t="str">
        <f>IF(TRIM(Raw_Data!C482)="","South",TRIM(Raw_Data!C482))</f>
        <v>North</v>
      </c>
      <c r="D482">
        <f>IF(TRIM(Raw_Data!D482)="",30435.80739,Raw_Data!D482)</f>
        <v>59217.02</v>
      </c>
      <c r="E482" t="str">
        <f>TEXT(Raw_Data!E482,"DD-MM-YYYY")</f>
        <v>04-10-2024</v>
      </c>
    </row>
    <row r="483" spans="1:5" x14ac:dyDescent="0.3">
      <c r="A483">
        <v>1481</v>
      </c>
      <c r="B483" t="str">
        <f>IF(TRIM(Raw_Data!B483)="","Unknown",PROPER(TRIM(Raw_Data!B483)))</f>
        <v>Tablet</v>
      </c>
      <c r="C483" t="str">
        <f>IF(TRIM(Raw_Data!C483)="","South",TRIM(Raw_Data!C483))</f>
        <v>East</v>
      </c>
      <c r="D483">
        <f>IF(TRIM(Raw_Data!D483)="",30435.80739,Raw_Data!D483)</f>
        <v>30825.02</v>
      </c>
      <c r="E483" t="str">
        <f>TEXT(Raw_Data!E483,"DD-MM-YYYY")</f>
        <v>25-08-2024</v>
      </c>
    </row>
    <row r="484" spans="1:5" x14ac:dyDescent="0.3">
      <c r="A484">
        <v>1482</v>
      </c>
      <c r="B484" t="str">
        <f>IF(TRIM(Raw_Data!B484)="","Unknown",PROPER(TRIM(Raw_Data!B484)))</f>
        <v>Monitor</v>
      </c>
      <c r="C484" t="str">
        <f>IF(TRIM(Raw_Data!C484)="","South",TRIM(Raw_Data!C484))</f>
        <v>North</v>
      </c>
      <c r="D484">
        <f>IF(TRIM(Raw_Data!D484)="",30435.80739,Raw_Data!D484)</f>
        <v>24346.77</v>
      </c>
      <c r="E484" t="str">
        <f>TEXT(Raw_Data!E484,"DD-MM-YYYY")</f>
        <v>15-04-2024</v>
      </c>
    </row>
    <row r="485" spans="1:5" x14ac:dyDescent="0.3">
      <c r="A485">
        <v>1483</v>
      </c>
      <c r="B485" t="str">
        <f>IF(TRIM(Raw_Data!B485)="","Unknown",PROPER(TRIM(Raw_Data!B485)))</f>
        <v>Mouse</v>
      </c>
      <c r="C485" t="str">
        <f>IF(TRIM(Raw_Data!C485)="","South",TRIM(Raw_Data!C485))</f>
        <v>West</v>
      </c>
      <c r="D485">
        <f>IF(TRIM(Raw_Data!D485)="",30435.80739,Raw_Data!D485)</f>
        <v>59514.6</v>
      </c>
      <c r="E485" t="str">
        <f>TEXT(Raw_Data!E485,"DD-MM-YYYY")</f>
        <v>15-04-2024</v>
      </c>
    </row>
    <row r="486" spans="1:5" x14ac:dyDescent="0.3">
      <c r="A486">
        <v>1484</v>
      </c>
      <c r="B486" t="str">
        <f>IF(TRIM(Raw_Data!B486)="","Unknown",PROPER(TRIM(Raw_Data!B486)))</f>
        <v>Laptop</v>
      </c>
      <c r="C486" t="str">
        <f>IF(TRIM(Raw_Data!C486)="","South",TRIM(Raw_Data!C486))</f>
        <v>West</v>
      </c>
      <c r="D486">
        <f>IF(TRIM(Raw_Data!D486)="",30435.80739,Raw_Data!D486)</f>
        <v>12514.82</v>
      </c>
      <c r="E486" t="str">
        <f>TEXT(Raw_Data!E486,"DD-MM-YYYY")</f>
        <v>22-03-2024</v>
      </c>
    </row>
    <row r="487" spans="1:5" x14ac:dyDescent="0.3">
      <c r="A487">
        <v>1485</v>
      </c>
      <c r="B487" t="str">
        <f>IF(TRIM(Raw_Data!B487)="","Unknown",PROPER(TRIM(Raw_Data!B487)))</f>
        <v>Tablet</v>
      </c>
      <c r="C487" t="str">
        <f>IF(TRIM(Raw_Data!C487)="","South",TRIM(Raw_Data!C487))</f>
        <v>East</v>
      </c>
      <c r="D487">
        <f>IF(TRIM(Raw_Data!D487)="",30435.80739,Raw_Data!D487)</f>
        <v>48183.360000000001</v>
      </c>
      <c r="E487" t="str">
        <f>TEXT(Raw_Data!E487,"DD-MM-YYYY")</f>
        <v>21-10-2024</v>
      </c>
    </row>
    <row r="488" spans="1:5" x14ac:dyDescent="0.3">
      <c r="A488">
        <v>1486</v>
      </c>
      <c r="B488" t="str">
        <f>IF(TRIM(Raw_Data!B488)="","Unknown",PROPER(TRIM(Raw_Data!B488)))</f>
        <v>Keyboard</v>
      </c>
      <c r="C488" t="str">
        <f>IF(TRIM(Raw_Data!C488)="","South",TRIM(Raw_Data!C488))</f>
        <v>West</v>
      </c>
      <c r="D488">
        <f>IF(TRIM(Raw_Data!D488)="",30435.80739,Raw_Data!D488)</f>
        <v>34495.910000000003</v>
      </c>
      <c r="E488" t="str">
        <f>TEXT(Raw_Data!E488,"DD-MM-YYYY")</f>
        <v>06-07-2024</v>
      </c>
    </row>
    <row r="489" spans="1:5" x14ac:dyDescent="0.3">
      <c r="A489">
        <v>1487</v>
      </c>
      <c r="B489" t="str">
        <f>IF(TRIM(Raw_Data!B489)="","Unknown",PROPER(TRIM(Raw_Data!B489)))</f>
        <v>Tablet</v>
      </c>
      <c r="C489" t="str">
        <f>IF(TRIM(Raw_Data!C489)="","South",TRIM(Raw_Data!C489))</f>
        <v>North</v>
      </c>
      <c r="D489">
        <f>IF(TRIM(Raw_Data!D489)="",30435.80739,Raw_Data!D489)</f>
        <v>9332.19</v>
      </c>
      <c r="E489" t="str">
        <f>TEXT(Raw_Data!E489,"DD-MM-YYYY")</f>
        <v>29-04-2024</v>
      </c>
    </row>
    <row r="490" spans="1:5" x14ac:dyDescent="0.3">
      <c r="A490">
        <v>1488</v>
      </c>
      <c r="B490" t="str">
        <f>IF(TRIM(Raw_Data!B490)="","Unknown",PROPER(TRIM(Raw_Data!B490)))</f>
        <v>Tablet</v>
      </c>
      <c r="C490" t="str">
        <f>IF(TRIM(Raw_Data!C490)="","South",TRIM(Raw_Data!C490))</f>
        <v>South</v>
      </c>
      <c r="D490">
        <f>IF(TRIM(Raw_Data!D490)="",30435.80739,Raw_Data!D490)</f>
        <v>17856.75</v>
      </c>
      <c r="E490" t="str">
        <f>TEXT(Raw_Data!E490,"DD-MM-YYYY")</f>
        <v>18-07-2024</v>
      </c>
    </row>
    <row r="491" spans="1:5" x14ac:dyDescent="0.3">
      <c r="A491">
        <v>1489</v>
      </c>
      <c r="B491" t="str">
        <f>IF(TRIM(Raw_Data!B491)="","Unknown",PROPER(TRIM(Raw_Data!B491)))</f>
        <v>Laptop</v>
      </c>
      <c r="C491" t="str">
        <f>IF(TRIM(Raw_Data!C491)="","South",TRIM(Raw_Data!C491))</f>
        <v>North</v>
      </c>
      <c r="D491">
        <f>IF(TRIM(Raw_Data!D491)="",30435.80739,Raw_Data!D491)</f>
        <v>20911.34</v>
      </c>
      <c r="E491" t="str">
        <f>TEXT(Raw_Data!E491,"DD-MM-YYYY")</f>
        <v>10-11-2024</v>
      </c>
    </row>
    <row r="492" spans="1:5" x14ac:dyDescent="0.3">
      <c r="A492">
        <v>1490</v>
      </c>
      <c r="B492" t="str">
        <f>IF(TRIM(Raw_Data!B492)="","Unknown",PROPER(TRIM(Raw_Data!B492)))</f>
        <v>Tablet</v>
      </c>
      <c r="C492" t="str">
        <f>IF(TRIM(Raw_Data!C492)="","South",TRIM(Raw_Data!C492))</f>
        <v>East</v>
      </c>
      <c r="D492">
        <f>IF(TRIM(Raw_Data!D492)="",30435.80739,Raw_Data!D492)</f>
        <v>52570.23</v>
      </c>
      <c r="E492" t="str">
        <f>TEXT(Raw_Data!E492,"DD-MM-YYYY")</f>
        <v>13-01-2024</v>
      </c>
    </row>
    <row r="493" spans="1:5" x14ac:dyDescent="0.3">
      <c r="A493">
        <v>1491</v>
      </c>
      <c r="B493" t="str">
        <f>IF(TRIM(Raw_Data!B493)="","Unknown",PROPER(TRIM(Raw_Data!B493)))</f>
        <v>Keyboard</v>
      </c>
      <c r="C493" t="str">
        <f>IF(TRIM(Raw_Data!C493)="","South",TRIM(Raw_Data!C493))</f>
        <v>South</v>
      </c>
      <c r="D493">
        <f>IF(TRIM(Raw_Data!D493)="",30435.80739,Raw_Data!D493)</f>
        <v>33705.910000000003</v>
      </c>
      <c r="E493" t="str">
        <f>TEXT(Raw_Data!E493,"DD-MM-YYYY")</f>
        <v>29-09-2024</v>
      </c>
    </row>
    <row r="494" spans="1:5" x14ac:dyDescent="0.3">
      <c r="A494">
        <v>1492</v>
      </c>
      <c r="B494" t="str">
        <f>IF(TRIM(Raw_Data!B494)="","Unknown",PROPER(TRIM(Raw_Data!B494)))</f>
        <v>Keyboard</v>
      </c>
      <c r="C494" t="str">
        <f>IF(TRIM(Raw_Data!C494)="","South",TRIM(Raw_Data!C494))</f>
        <v>South</v>
      </c>
      <c r="D494">
        <f>IF(TRIM(Raw_Data!D494)="",30435.80739,Raw_Data!D494)</f>
        <v>55546.83</v>
      </c>
      <c r="E494" t="str">
        <f>TEXT(Raw_Data!E494,"DD-MM-YYYY")</f>
        <v>20-04-2024</v>
      </c>
    </row>
    <row r="495" spans="1:5" x14ac:dyDescent="0.3">
      <c r="A495">
        <v>1493</v>
      </c>
      <c r="B495" t="str">
        <f>IF(TRIM(Raw_Data!B495)="","Unknown",PROPER(TRIM(Raw_Data!B495)))</f>
        <v>Monitor</v>
      </c>
      <c r="C495" t="str">
        <f>IF(TRIM(Raw_Data!C495)="","South",TRIM(Raw_Data!C495))</f>
        <v>North</v>
      </c>
      <c r="D495">
        <f>IF(TRIM(Raw_Data!D495)="",30435.80739,Raw_Data!D495)</f>
        <v>26369.13</v>
      </c>
      <c r="E495" t="str">
        <f>TEXT(Raw_Data!E495,"DD-MM-YYYY")</f>
        <v>12-10-2024</v>
      </c>
    </row>
    <row r="496" spans="1:5" x14ac:dyDescent="0.3">
      <c r="A496">
        <v>1494</v>
      </c>
      <c r="B496" t="str">
        <f>IF(TRIM(Raw_Data!B496)="","Unknown",PROPER(TRIM(Raw_Data!B496)))</f>
        <v>Laptop</v>
      </c>
      <c r="C496" t="str">
        <f>IF(TRIM(Raw_Data!C496)="","South",TRIM(Raw_Data!C496))</f>
        <v>East</v>
      </c>
      <c r="D496">
        <f>IF(TRIM(Raw_Data!D496)="",30435.80739,Raw_Data!D496)</f>
        <v>30435.807390000002</v>
      </c>
      <c r="E496" t="str">
        <f>TEXT(Raw_Data!E496,"DD-MM-YYYY")</f>
        <v>28-05-2024</v>
      </c>
    </row>
    <row r="497" spans="1:5" x14ac:dyDescent="0.3">
      <c r="A497">
        <v>1495</v>
      </c>
      <c r="B497" t="str">
        <f>IF(TRIM(Raw_Data!B497)="","Unknown",PROPER(TRIM(Raw_Data!B497)))</f>
        <v>Monitor</v>
      </c>
      <c r="C497" t="str">
        <f>IF(TRIM(Raw_Data!C497)="","South",TRIM(Raw_Data!C497))</f>
        <v>South</v>
      </c>
      <c r="D497">
        <f>IF(TRIM(Raw_Data!D497)="",30435.80739,Raw_Data!D497)</f>
        <v>46639.61</v>
      </c>
      <c r="E497" t="str">
        <f>TEXT(Raw_Data!E497,"DD-MM-YYYY")</f>
        <v>22-02-2024</v>
      </c>
    </row>
    <row r="498" spans="1:5" x14ac:dyDescent="0.3">
      <c r="A498">
        <v>1496</v>
      </c>
      <c r="B498" t="str">
        <f>IF(TRIM(Raw_Data!B498)="","Unknown",PROPER(TRIM(Raw_Data!B498)))</f>
        <v>Laptop</v>
      </c>
      <c r="C498" t="str">
        <f>IF(TRIM(Raw_Data!C498)="","South",TRIM(Raw_Data!C498))</f>
        <v>East</v>
      </c>
      <c r="D498">
        <f>IF(TRIM(Raw_Data!D498)="",30435.80739,Raw_Data!D498)</f>
        <v>10480.1</v>
      </c>
      <c r="E498" t="str">
        <f>TEXT(Raw_Data!E498,"DD-MM-YYYY")</f>
        <v>14-08-2024</v>
      </c>
    </row>
    <row r="499" spans="1:5" x14ac:dyDescent="0.3">
      <c r="A499">
        <v>1497</v>
      </c>
      <c r="B499" t="str">
        <f>IF(TRIM(Raw_Data!B499)="","Unknown",PROPER(TRIM(Raw_Data!B499)))</f>
        <v>Tablet</v>
      </c>
      <c r="C499" t="str">
        <f>IF(TRIM(Raw_Data!C499)="","South",TRIM(Raw_Data!C499))</f>
        <v>South</v>
      </c>
      <c r="D499">
        <f>IF(TRIM(Raw_Data!D499)="",30435.80739,Raw_Data!D499)</f>
        <v>12159.21</v>
      </c>
      <c r="E499" t="str">
        <f>TEXT(Raw_Data!E499,"DD-MM-YYYY")</f>
        <v>03-06-2024</v>
      </c>
    </row>
    <row r="500" spans="1:5" x14ac:dyDescent="0.3">
      <c r="A500">
        <v>1498</v>
      </c>
      <c r="B500" t="str">
        <f>IF(TRIM(Raw_Data!B500)="","Unknown",PROPER(TRIM(Raw_Data!B500)))</f>
        <v>Monitor</v>
      </c>
      <c r="C500" t="str">
        <f>IF(TRIM(Raw_Data!C500)="","South",TRIM(Raw_Data!C500))</f>
        <v>East</v>
      </c>
      <c r="D500">
        <f>IF(TRIM(Raw_Data!D500)="",30435.80739,Raw_Data!D500)</f>
        <v>8403.69</v>
      </c>
      <c r="E500" t="str">
        <f>TEXT(Raw_Data!E500,"DD-MM-YYYY")</f>
        <v>29-09-2024</v>
      </c>
    </row>
    <row r="501" spans="1:5" x14ac:dyDescent="0.3">
      <c r="A501">
        <v>1499</v>
      </c>
      <c r="B501" t="str">
        <f>IF(TRIM(Raw_Data!B501)="","Unknown",PROPER(TRIM(Raw_Data!B501)))</f>
        <v>Laptop</v>
      </c>
      <c r="C501" t="str">
        <f>IF(TRIM(Raw_Data!C501)="","South",TRIM(Raw_Data!C501))</f>
        <v>West</v>
      </c>
      <c r="D501">
        <f>IF(TRIM(Raw_Data!D501)="",30435.80739,Raw_Data!D501)</f>
        <v>22587.26</v>
      </c>
      <c r="E501" t="str">
        <f>TEXT(Raw_Data!E501,"DD-MM-YYYY")</f>
        <v>11-04-2024</v>
      </c>
    </row>
    <row r="502" spans="1:5" x14ac:dyDescent="0.3">
      <c r="A502">
        <v>1500</v>
      </c>
      <c r="B502" t="str">
        <f>IF(TRIM(Raw_Data!B502)="","Unknown",PROPER(TRIM(Raw_Data!B502)))</f>
        <v>Laptop</v>
      </c>
      <c r="C502" t="str">
        <f>IF(TRIM(Raw_Data!C502)="","South",TRIM(Raw_Data!C502))</f>
        <v>East</v>
      </c>
      <c r="D502">
        <f>IF(TRIM(Raw_Data!D502)="",30435.80739,Raw_Data!D502)</f>
        <v>21359.94</v>
      </c>
      <c r="E502" t="str">
        <f>TEXT(Raw_Data!E502,"DD-MM-YYYY")</f>
        <v>31-10-2024</v>
      </c>
    </row>
    <row r="503" spans="1:5" x14ac:dyDescent="0.3">
      <c r="A503">
        <v>1501</v>
      </c>
      <c r="B503" t="str">
        <f>IF(TRIM(Raw_Data!B503)="","Unknown",PROPER(TRIM(Raw_Data!B503)))</f>
        <v>Monitor</v>
      </c>
      <c r="C503" t="str">
        <f>IF(TRIM(Raw_Data!C503)="","South",TRIM(Raw_Data!C503))</f>
        <v>West</v>
      </c>
      <c r="D503">
        <f>IF(TRIM(Raw_Data!D503)="",30435.80739,Raw_Data!D503)</f>
        <v>12346.28</v>
      </c>
      <c r="E503" t="str">
        <f>TEXT(Raw_Data!E503,"DD-MM-YYYY")</f>
        <v>28-01-2024</v>
      </c>
    </row>
    <row r="504" spans="1:5" x14ac:dyDescent="0.3">
      <c r="A504">
        <v>1502</v>
      </c>
      <c r="B504" t="str">
        <f>IF(TRIM(Raw_Data!B504)="","Unknown",PROPER(TRIM(Raw_Data!B504)))</f>
        <v>Mouse</v>
      </c>
      <c r="C504" t="str">
        <f>IF(TRIM(Raw_Data!C504)="","South",TRIM(Raw_Data!C504))</f>
        <v>North</v>
      </c>
      <c r="D504">
        <f>IF(TRIM(Raw_Data!D504)="",30435.80739,Raw_Data!D504)</f>
        <v>57838.26</v>
      </c>
      <c r="E504" t="str">
        <f>TEXT(Raw_Data!E504,"DD-MM-YYYY")</f>
        <v>03-11-2024</v>
      </c>
    </row>
    <row r="505" spans="1:5" x14ac:dyDescent="0.3">
      <c r="A505">
        <v>1503</v>
      </c>
      <c r="B505" t="str">
        <f>IF(TRIM(Raw_Data!B505)="","Unknown",PROPER(TRIM(Raw_Data!B505)))</f>
        <v>Monitor</v>
      </c>
      <c r="C505" t="str">
        <f>IF(TRIM(Raw_Data!C505)="","South",TRIM(Raw_Data!C505))</f>
        <v>East</v>
      </c>
      <c r="D505">
        <f>IF(TRIM(Raw_Data!D505)="",30435.80739,Raw_Data!D505)</f>
        <v>9393.06</v>
      </c>
      <c r="E505" t="str">
        <f>TEXT(Raw_Data!E505,"DD-MM-YYYY")</f>
        <v>02-07-2024</v>
      </c>
    </row>
    <row r="506" spans="1:5" x14ac:dyDescent="0.3">
      <c r="A506">
        <v>1504</v>
      </c>
      <c r="B506" t="str">
        <f>IF(TRIM(Raw_Data!B506)="","Unknown",PROPER(TRIM(Raw_Data!B506)))</f>
        <v>Monitor</v>
      </c>
      <c r="C506" t="str">
        <f>IF(TRIM(Raw_Data!C506)="","South",TRIM(Raw_Data!C506))</f>
        <v>North</v>
      </c>
      <c r="D506">
        <f>IF(TRIM(Raw_Data!D506)="",30435.80739,Raw_Data!D506)</f>
        <v>22978.03</v>
      </c>
      <c r="E506" t="str">
        <f>TEXT(Raw_Data!E506,"DD-MM-YYYY")</f>
        <v>16-05-2024</v>
      </c>
    </row>
    <row r="507" spans="1:5" x14ac:dyDescent="0.3">
      <c r="A507">
        <v>1505</v>
      </c>
      <c r="B507" t="str">
        <f>IF(TRIM(Raw_Data!B507)="","Unknown",PROPER(TRIM(Raw_Data!B507)))</f>
        <v>Keyboard</v>
      </c>
      <c r="C507" t="str">
        <f>IF(TRIM(Raw_Data!C507)="","South",TRIM(Raw_Data!C507))</f>
        <v>West</v>
      </c>
      <c r="D507">
        <f>IF(TRIM(Raw_Data!D507)="",30435.80739,Raw_Data!D507)</f>
        <v>54880.73</v>
      </c>
      <c r="E507" t="str">
        <f>TEXT(Raw_Data!E507,"DD-MM-YYYY")</f>
        <v>07-03-2024</v>
      </c>
    </row>
    <row r="508" spans="1:5" x14ac:dyDescent="0.3">
      <c r="A508">
        <v>1506</v>
      </c>
      <c r="B508" t="str">
        <f>IF(TRIM(Raw_Data!B508)="","Unknown",PROPER(TRIM(Raw_Data!B508)))</f>
        <v>Monitor</v>
      </c>
      <c r="C508" t="str">
        <f>IF(TRIM(Raw_Data!C508)="","South",TRIM(Raw_Data!C508))</f>
        <v>North</v>
      </c>
      <c r="D508">
        <f>IF(TRIM(Raw_Data!D508)="",30435.80739,Raw_Data!D508)</f>
        <v>35095.58</v>
      </c>
      <c r="E508" t="str">
        <f>TEXT(Raw_Data!E508,"DD-MM-YYYY")</f>
        <v>18-11-2024</v>
      </c>
    </row>
    <row r="509" spans="1:5" x14ac:dyDescent="0.3">
      <c r="A509">
        <v>1507</v>
      </c>
      <c r="B509" t="str">
        <f>IF(TRIM(Raw_Data!B509)="","Unknown",PROPER(TRIM(Raw_Data!B509)))</f>
        <v>Tablet</v>
      </c>
      <c r="C509" t="str">
        <f>IF(TRIM(Raw_Data!C509)="","South",TRIM(Raw_Data!C509))</f>
        <v>West</v>
      </c>
      <c r="D509">
        <f>IF(TRIM(Raw_Data!D509)="",30435.80739,Raw_Data!D509)</f>
        <v>52032.79</v>
      </c>
      <c r="E509" t="str">
        <f>TEXT(Raw_Data!E509,"DD-MM-YYYY")</f>
        <v>13-02-2024</v>
      </c>
    </row>
    <row r="510" spans="1:5" x14ac:dyDescent="0.3">
      <c r="A510">
        <v>1508</v>
      </c>
      <c r="B510" t="str">
        <f>IF(TRIM(Raw_Data!B510)="","Unknown",PROPER(TRIM(Raw_Data!B510)))</f>
        <v>Keyboard</v>
      </c>
      <c r="C510" t="str">
        <f>IF(TRIM(Raw_Data!C510)="","South",TRIM(Raw_Data!C510))</f>
        <v>West</v>
      </c>
      <c r="D510">
        <f>IF(TRIM(Raw_Data!D510)="",30435.80739,Raw_Data!D510)</f>
        <v>41772.29</v>
      </c>
      <c r="E510" t="str">
        <f>TEXT(Raw_Data!E510,"DD-MM-YYYY")</f>
        <v>08-05-2024</v>
      </c>
    </row>
    <row r="511" spans="1:5" x14ac:dyDescent="0.3">
      <c r="A511">
        <v>1509</v>
      </c>
      <c r="B511" t="str">
        <f>IF(TRIM(Raw_Data!B511)="","Unknown",PROPER(TRIM(Raw_Data!B511)))</f>
        <v>Mouse</v>
      </c>
      <c r="C511" t="str">
        <f>IF(TRIM(Raw_Data!C511)="","South",TRIM(Raw_Data!C511))</f>
        <v>South</v>
      </c>
      <c r="D511">
        <f>IF(TRIM(Raw_Data!D511)="",30435.80739,Raw_Data!D511)</f>
        <v>11227.24</v>
      </c>
      <c r="E511" t="str">
        <f>TEXT(Raw_Data!E511,"DD-MM-YYYY")</f>
        <v>20-10-2024</v>
      </c>
    </row>
    <row r="512" spans="1:5" x14ac:dyDescent="0.3">
      <c r="A512">
        <v>1510</v>
      </c>
      <c r="B512" t="str">
        <f>IF(TRIM(Raw_Data!B512)="","Unknown",PROPER(TRIM(Raw_Data!B512)))</f>
        <v>Monitor</v>
      </c>
      <c r="C512" t="str">
        <f>IF(TRIM(Raw_Data!C512)="","South",TRIM(Raw_Data!C512))</f>
        <v>West</v>
      </c>
      <c r="D512">
        <f>IF(TRIM(Raw_Data!D512)="",30435.80739,Raw_Data!D512)</f>
        <v>24017.09</v>
      </c>
      <c r="E512" t="str">
        <f>TEXT(Raw_Data!E512,"DD-MM-YYYY")</f>
        <v>10-03-2024</v>
      </c>
    </row>
    <row r="513" spans="1:5" x14ac:dyDescent="0.3">
      <c r="A513">
        <v>1511</v>
      </c>
      <c r="B513" t="str">
        <f>IF(TRIM(Raw_Data!B513)="","Unknown",PROPER(TRIM(Raw_Data!B513)))</f>
        <v>Tablet</v>
      </c>
      <c r="C513" t="str">
        <f>IF(TRIM(Raw_Data!C513)="","South",TRIM(Raw_Data!C513))</f>
        <v>West</v>
      </c>
      <c r="D513">
        <f>IF(TRIM(Raw_Data!D513)="",30435.80739,Raw_Data!D513)</f>
        <v>34429.71</v>
      </c>
      <c r="E513" t="str">
        <f>TEXT(Raw_Data!E513,"DD-MM-YYYY")</f>
        <v>30-05-2024</v>
      </c>
    </row>
    <row r="514" spans="1:5" x14ac:dyDescent="0.3">
      <c r="A514">
        <v>1512</v>
      </c>
      <c r="B514" t="str">
        <f>IF(TRIM(Raw_Data!B514)="","Unknown",PROPER(TRIM(Raw_Data!B514)))</f>
        <v>Monitor</v>
      </c>
      <c r="C514" t="str">
        <f>IF(TRIM(Raw_Data!C514)="","South",TRIM(Raw_Data!C514))</f>
        <v>North</v>
      </c>
      <c r="D514">
        <f>IF(TRIM(Raw_Data!D514)="",30435.80739,Raw_Data!D514)</f>
        <v>47019.31</v>
      </c>
      <c r="E514" t="str">
        <f>TEXT(Raw_Data!E514,"DD-MM-YYYY")</f>
        <v>24-08-2024</v>
      </c>
    </row>
    <row r="515" spans="1:5" x14ac:dyDescent="0.3">
      <c r="A515">
        <v>1513</v>
      </c>
      <c r="B515" t="str">
        <f>IF(TRIM(Raw_Data!B515)="","Unknown",PROPER(TRIM(Raw_Data!B515)))</f>
        <v>Mouse</v>
      </c>
      <c r="C515" t="str">
        <f>IF(TRIM(Raw_Data!C515)="","South",TRIM(Raw_Data!C515))</f>
        <v>West</v>
      </c>
      <c r="D515">
        <f>IF(TRIM(Raw_Data!D515)="",30435.80739,Raw_Data!D515)</f>
        <v>53846.18</v>
      </c>
      <c r="E515" t="str">
        <f>TEXT(Raw_Data!E515,"DD-MM-YYYY")</f>
        <v>02-01-2024</v>
      </c>
    </row>
    <row r="516" spans="1:5" x14ac:dyDescent="0.3">
      <c r="A516">
        <v>1514</v>
      </c>
      <c r="B516" t="str">
        <f>IF(TRIM(Raw_Data!B516)="","Unknown",PROPER(TRIM(Raw_Data!B516)))</f>
        <v>Keyboard</v>
      </c>
      <c r="C516" t="str">
        <f>IF(TRIM(Raw_Data!C516)="","South",TRIM(Raw_Data!C516))</f>
        <v>East</v>
      </c>
      <c r="D516">
        <f>IF(TRIM(Raw_Data!D516)="",30435.80739,Raw_Data!D516)</f>
        <v>34510.480000000003</v>
      </c>
      <c r="E516" t="str">
        <f>TEXT(Raw_Data!E516,"DD-MM-YYYY")</f>
        <v>07-08-2024</v>
      </c>
    </row>
    <row r="517" spans="1:5" x14ac:dyDescent="0.3">
      <c r="A517">
        <v>1515</v>
      </c>
      <c r="B517" t="str">
        <f>IF(TRIM(Raw_Data!B517)="","Unknown",PROPER(TRIM(Raw_Data!B517)))</f>
        <v>Laptop</v>
      </c>
      <c r="C517" t="str">
        <f>IF(TRIM(Raw_Data!C517)="","South",TRIM(Raw_Data!C517))</f>
        <v>North</v>
      </c>
      <c r="D517">
        <f>IF(TRIM(Raw_Data!D517)="",30435.80739,Raw_Data!D517)</f>
        <v>4113.1499999999996</v>
      </c>
      <c r="E517" t="str">
        <f>TEXT(Raw_Data!E517,"DD-MM-YYYY")</f>
        <v>16-03-2024</v>
      </c>
    </row>
    <row r="518" spans="1:5" x14ac:dyDescent="0.3">
      <c r="A518">
        <v>1516</v>
      </c>
      <c r="B518" t="str">
        <f>IF(TRIM(Raw_Data!B518)="","Unknown",PROPER(TRIM(Raw_Data!B518)))</f>
        <v>Mouse</v>
      </c>
      <c r="C518" t="str">
        <f>IF(TRIM(Raw_Data!C518)="","South",TRIM(Raw_Data!C518))</f>
        <v>East</v>
      </c>
      <c r="D518">
        <f>IF(TRIM(Raw_Data!D518)="",30435.80739,Raw_Data!D518)</f>
        <v>53966.87</v>
      </c>
      <c r="E518" t="str">
        <f>TEXT(Raw_Data!E518,"DD-MM-YYYY")</f>
        <v>30-11-2024</v>
      </c>
    </row>
    <row r="519" spans="1:5" x14ac:dyDescent="0.3">
      <c r="A519">
        <v>1517</v>
      </c>
      <c r="B519" t="str">
        <f>IF(TRIM(Raw_Data!B519)="","Unknown",PROPER(TRIM(Raw_Data!B519)))</f>
        <v>Mouse</v>
      </c>
      <c r="C519" t="str">
        <f>IF(TRIM(Raw_Data!C519)="","South",TRIM(Raw_Data!C519))</f>
        <v>North</v>
      </c>
      <c r="D519">
        <f>IF(TRIM(Raw_Data!D519)="",30435.80739,Raw_Data!D519)</f>
        <v>13334.5</v>
      </c>
      <c r="E519" t="str">
        <f>TEXT(Raw_Data!E519,"DD-MM-YYYY")</f>
        <v>24-05-2024</v>
      </c>
    </row>
    <row r="520" spans="1:5" x14ac:dyDescent="0.3">
      <c r="A520">
        <v>1518</v>
      </c>
      <c r="B520" t="str">
        <f>IF(TRIM(Raw_Data!B520)="","Unknown",PROPER(TRIM(Raw_Data!B520)))</f>
        <v>Monitor</v>
      </c>
      <c r="C520" t="str">
        <f>IF(TRIM(Raw_Data!C520)="","South",TRIM(Raw_Data!C520))</f>
        <v>South</v>
      </c>
      <c r="D520">
        <f>IF(TRIM(Raw_Data!D520)="",30435.80739,Raw_Data!D520)</f>
        <v>35011.870000000003</v>
      </c>
      <c r="E520" t="str">
        <f>TEXT(Raw_Data!E520,"DD-MM-YYYY")</f>
        <v>09-10-2024</v>
      </c>
    </row>
    <row r="521" spans="1:5" x14ac:dyDescent="0.3">
      <c r="A521">
        <v>1519</v>
      </c>
      <c r="B521" t="str">
        <f>IF(TRIM(Raw_Data!B521)="","Unknown",PROPER(TRIM(Raw_Data!B521)))</f>
        <v>Unknown</v>
      </c>
      <c r="C521" t="str">
        <f>IF(TRIM(Raw_Data!C521)="","South",TRIM(Raw_Data!C521))</f>
        <v>West</v>
      </c>
      <c r="D521">
        <f>IF(TRIM(Raw_Data!D521)="",30435.80739,Raw_Data!D521)</f>
        <v>25824.91</v>
      </c>
      <c r="E521" t="str">
        <f>TEXT(Raw_Data!E521,"DD-MM-YYYY")</f>
        <v>26-01-2024</v>
      </c>
    </row>
    <row r="522" spans="1:5" x14ac:dyDescent="0.3">
      <c r="A522">
        <v>1520</v>
      </c>
      <c r="B522" t="str">
        <f>IF(TRIM(Raw_Data!B522)="","Unknown",PROPER(TRIM(Raw_Data!B522)))</f>
        <v>Keyboard</v>
      </c>
      <c r="C522" t="str">
        <f>IF(TRIM(Raw_Data!C522)="","South",TRIM(Raw_Data!C522))</f>
        <v>West</v>
      </c>
      <c r="D522">
        <f>IF(TRIM(Raw_Data!D522)="",30435.80739,Raw_Data!D522)</f>
        <v>55758.01</v>
      </c>
      <c r="E522" t="str">
        <f>TEXT(Raw_Data!E522,"DD-MM-YYYY")</f>
        <v>13-01-2024</v>
      </c>
    </row>
    <row r="523" spans="1:5" x14ac:dyDescent="0.3">
      <c r="A523">
        <v>1521</v>
      </c>
      <c r="B523" t="str">
        <f>IF(TRIM(Raw_Data!B523)="","Unknown",PROPER(TRIM(Raw_Data!B523)))</f>
        <v>Tablet</v>
      </c>
      <c r="C523" t="str">
        <f>IF(TRIM(Raw_Data!C523)="","South",TRIM(Raw_Data!C523))</f>
        <v>East</v>
      </c>
      <c r="D523">
        <f>IF(TRIM(Raw_Data!D523)="",30435.80739,Raw_Data!D523)</f>
        <v>30435.807390000002</v>
      </c>
      <c r="E523" t="str">
        <f>TEXT(Raw_Data!E523,"DD-MM-YYYY")</f>
        <v>02-12-2024</v>
      </c>
    </row>
    <row r="524" spans="1:5" x14ac:dyDescent="0.3">
      <c r="A524">
        <v>1522</v>
      </c>
      <c r="B524" t="str">
        <f>IF(TRIM(Raw_Data!B524)="","Unknown",PROPER(TRIM(Raw_Data!B524)))</f>
        <v>Keyboard</v>
      </c>
      <c r="C524" t="str">
        <f>IF(TRIM(Raw_Data!C524)="","South",TRIM(Raw_Data!C524))</f>
        <v>South</v>
      </c>
      <c r="D524">
        <f>IF(TRIM(Raw_Data!D524)="",30435.80739,Raw_Data!D524)</f>
        <v>26852.43</v>
      </c>
      <c r="E524" t="str">
        <f>TEXT(Raw_Data!E524,"DD-MM-YYYY")</f>
        <v>22-11-2024</v>
      </c>
    </row>
    <row r="525" spans="1:5" x14ac:dyDescent="0.3">
      <c r="A525">
        <v>1523</v>
      </c>
      <c r="B525" t="str">
        <f>IF(TRIM(Raw_Data!B525)="","Unknown",PROPER(TRIM(Raw_Data!B525)))</f>
        <v>Tablet</v>
      </c>
      <c r="C525" t="str">
        <f>IF(TRIM(Raw_Data!C525)="","South",TRIM(Raw_Data!C525))</f>
        <v>South</v>
      </c>
      <c r="D525">
        <f>IF(TRIM(Raw_Data!D525)="",30435.80739,Raw_Data!D525)</f>
        <v>39831.43</v>
      </c>
      <c r="E525" t="str">
        <f>TEXT(Raw_Data!E525,"DD-MM-YYYY")</f>
        <v>26-08-2024</v>
      </c>
    </row>
    <row r="526" spans="1:5" x14ac:dyDescent="0.3">
      <c r="A526">
        <v>1524</v>
      </c>
      <c r="B526" t="str">
        <f>IF(TRIM(Raw_Data!B526)="","Unknown",PROPER(TRIM(Raw_Data!B526)))</f>
        <v>Unknown</v>
      </c>
      <c r="C526" t="str">
        <f>IF(TRIM(Raw_Data!C526)="","South",TRIM(Raw_Data!C526))</f>
        <v>West</v>
      </c>
      <c r="D526">
        <f>IF(TRIM(Raw_Data!D526)="",30435.80739,Raw_Data!D526)</f>
        <v>13985.23</v>
      </c>
      <c r="E526" t="str">
        <f>TEXT(Raw_Data!E526,"DD-MM-YYYY")</f>
        <v>17-12-2024</v>
      </c>
    </row>
    <row r="527" spans="1:5" x14ac:dyDescent="0.3">
      <c r="A527">
        <v>1525</v>
      </c>
      <c r="B527" t="str">
        <f>IF(TRIM(Raw_Data!B527)="","Unknown",PROPER(TRIM(Raw_Data!B527)))</f>
        <v>Keyboard</v>
      </c>
      <c r="C527" t="str">
        <f>IF(TRIM(Raw_Data!C527)="","South",TRIM(Raw_Data!C527))</f>
        <v>East</v>
      </c>
      <c r="D527">
        <f>IF(TRIM(Raw_Data!D527)="",30435.80739,Raw_Data!D527)</f>
        <v>14006.31</v>
      </c>
      <c r="E527" t="str">
        <f>TEXT(Raw_Data!E527,"DD-MM-YYYY")</f>
        <v>20-09-2024</v>
      </c>
    </row>
    <row r="528" spans="1:5" x14ac:dyDescent="0.3">
      <c r="A528">
        <v>1526</v>
      </c>
      <c r="B528" t="str">
        <f>IF(TRIM(Raw_Data!B528)="","Unknown",PROPER(TRIM(Raw_Data!B528)))</f>
        <v>Mouse</v>
      </c>
      <c r="C528" t="str">
        <f>IF(TRIM(Raw_Data!C528)="","South",TRIM(Raw_Data!C528))</f>
        <v>North</v>
      </c>
      <c r="D528">
        <f>IF(TRIM(Raw_Data!D528)="",30435.80739,Raw_Data!D528)</f>
        <v>6391.07</v>
      </c>
      <c r="E528" t="str">
        <f>TEXT(Raw_Data!E528,"DD-MM-YYYY")</f>
        <v>17-08-2024</v>
      </c>
    </row>
    <row r="529" spans="1:5" x14ac:dyDescent="0.3">
      <c r="A529">
        <v>1527</v>
      </c>
      <c r="B529" t="str">
        <f>IF(TRIM(Raw_Data!B529)="","Unknown",PROPER(TRIM(Raw_Data!B529)))</f>
        <v>Keyboard</v>
      </c>
      <c r="C529" t="str">
        <f>IF(TRIM(Raw_Data!C529)="","South",TRIM(Raw_Data!C529))</f>
        <v>South</v>
      </c>
      <c r="D529">
        <f>IF(TRIM(Raw_Data!D529)="",30435.80739,Raw_Data!D529)</f>
        <v>50142.85</v>
      </c>
      <c r="E529" t="str">
        <f>TEXT(Raw_Data!E529,"DD-MM-YYYY")</f>
        <v>01-05-2024</v>
      </c>
    </row>
    <row r="530" spans="1:5" x14ac:dyDescent="0.3">
      <c r="A530">
        <v>1528</v>
      </c>
      <c r="B530" t="str">
        <f>IF(TRIM(Raw_Data!B530)="","Unknown",PROPER(TRIM(Raw_Data!B530)))</f>
        <v>Keyboard</v>
      </c>
      <c r="C530" t="str">
        <f>IF(TRIM(Raw_Data!C530)="","South",TRIM(Raw_Data!C530))</f>
        <v>East</v>
      </c>
      <c r="D530">
        <f>IF(TRIM(Raw_Data!D530)="",30435.80739,Raw_Data!D530)</f>
        <v>15720.68</v>
      </c>
      <c r="E530" t="str">
        <f>TEXT(Raw_Data!E530,"DD-MM-YYYY")</f>
        <v>05-04-2024</v>
      </c>
    </row>
    <row r="531" spans="1:5" x14ac:dyDescent="0.3">
      <c r="A531">
        <v>1529</v>
      </c>
      <c r="B531" t="str">
        <f>IF(TRIM(Raw_Data!B531)="","Unknown",PROPER(TRIM(Raw_Data!B531)))</f>
        <v>Keyboard</v>
      </c>
      <c r="C531" t="str">
        <f>IF(TRIM(Raw_Data!C531)="","South",TRIM(Raw_Data!C531))</f>
        <v>South</v>
      </c>
      <c r="D531">
        <f>IF(TRIM(Raw_Data!D531)="",30435.80739,Raw_Data!D531)</f>
        <v>49880.800000000003</v>
      </c>
      <c r="E531" t="str">
        <f>TEXT(Raw_Data!E531,"DD-MM-YYYY")</f>
        <v>25-10-2024</v>
      </c>
    </row>
    <row r="532" spans="1:5" x14ac:dyDescent="0.3">
      <c r="A532">
        <v>1530</v>
      </c>
      <c r="B532" t="str">
        <f>IF(TRIM(Raw_Data!B532)="","Unknown",PROPER(TRIM(Raw_Data!B532)))</f>
        <v>Tablet</v>
      </c>
      <c r="C532" t="str">
        <f>IF(TRIM(Raw_Data!C532)="","South",TRIM(Raw_Data!C532))</f>
        <v>North</v>
      </c>
      <c r="D532">
        <f>IF(TRIM(Raw_Data!D532)="",30435.80739,Raw_Data!D532)</f>
        <v>48520.37</v>
      </c>
      <c r="E532" t="str">
        <f>TEXT(Raw_Data!E532,"DD-MM-YYYY")</f>
        <v>22-01-2024</v>
      </c>
    </row>
    <row r="533" spans="1:5" x14ac:dyDescent="0.3">
      <c r="A533">
        <v>1531</v>
      </c>
      <c r="B533" t="str">
        <f>IF(TRIM(Raw_Data!B533)="","Unknown",PROPER(TRIM(Raw_Data!B533)))</f>
        <v>Laptop</v>
      </c>
      <c r="C533" t="str">
        <f>IF(TRIM(Raw_Data!C533)="","South",TRIM(Raw_Data!C533))</f>
        <v>East</v>
      </c>
      <c r="D533">
        <f>IF(TRIM(Raw_Data!D533)="",30435.80739,Raw_Data!D533)</f>
        <v>59859.75</v>
      </c>
      <c r="E533" t="str">
        <f>TEXT(Raw_Data!E533,"DD-MM-YYYY")</f>
        <v>16-03-2024</v>
      </c>
    </row>
    <row r="534" spans="1:5" x14ac:dyDescent="0.3">
      <c r="A534">
        <v>1532</v>
      </c>
      <c r="B534" t="str">
        <f>IF(TRIM(Raw_Data!B534)="","Unknown",PROPER(TRIM(Raw_Data!B534)))</f>
        <v>Monitor</v>
      </c>
      <c r="C534" t="str">
        <f>IF(TRIM(Raw_Data!C534)="","South",TRIM(Raw_Data!C534))</f>
        <v>West</v>
      </c>
      <c r="D534">
        <f>IF(TRIM(Raw_Data!D534)="",30435.80739,Raw_Data!D534)</f>
        <v>14137.89</v>
      </c>
      <c r="E534" t="str">
        <f>TEXT(Raw_Data!E534,"DD-MM-YYYY")</f>
        <v>16-02-2024</v>
      </c>
    </row>
    <row r="535" spans="1:5" x14ac:dyDescent="0.3">
      <c r="A535">
        <v>1533</v>
      </c>
      <c r="B535" t="str">
        <f>IF(TRIM(Raw_Data!B535)="","Unknown",PROPER(TRIM(Raw_Data!B535)))</f>
        <v>Mouse</v>
      </c>
      <c r="C535" t="str">
        <f>IF(TRIM(Raw_Data!C535)="","South",TRIM(Raw_Data!C535))</f>
        <v>East</v>
      </c>
      <c r="D535">
        <f>IF(TRIM(Raw_Data!D535)="",30435.80739,Raw_Data!D535)</f>
        <v>48035.45</v>
      </c>
      <c r="E535" t="str">
        <f>TEXT(Raw_Data!E535,"DD-MM-YYYY")</f>
        <v>09-11-2024</v>
      </c>
    </row>
    <row r="536" spans="1:5" x14ac:dyDescent="0.3">
      <c r="A536">
        <v>1534</v>
      </c>
      <c r="B536" t="str">
        <f>IF(TRIM(Raw_Data!B536)="","Unknown",PROPER(TRIM(Raw_Data!B536)))</f>
        <v>Mouse</v>
      </c>
      <c r="C536" t="str">
        <f>IF(TRIM(Raw_Data!C536)="","South",TRIM(Raw_Data!C536))</f>
        <v>North</v>
      </c>
      <c r="D536">
        <f>IF(TRIM(Raw_Data!D536)="",30435.80739,Raw_Data!D536)</f>
        <v>14864.66</v>
      </c>
      <c r="E536" t="str">
        <f>TEXT(Raw_Data!E536,"DD-MM-YYYY")</f>
        <v>25-03-2024</v>
      </c>
    </row>
    <row r="537" spans="1:5" x14ac:dyDescent="0.3">
      <c r="A537">
        <v>1535</v>
      </c>
      <c r="B537" t="str">
        <f>IF(TRIM(Raw_Data!B537)="","Unknown",PROPER(TRIM(Raw_Data!B537)))</f>
        <v>Tablet</v>
      </c>
      <c r="C537" t="str">
        <f>IF(TRIM(Raw_Data!C537)="","South",TRIM(Raw_Data!C537))</f>
        <v>South</v>
      </c>
      <c r="D537">
        <f>IF(TRIM(Raw_Data!D537)="",30435.80739,Raw_Data!D537)</f>
        <v>25758.02</v>
      </c>
      <c r="E537" t="str">
        <f>TEXT(Raw_Data!E537,"DD-MM-YYYY")</f>
        <v>23-02-2024</v>
      </c>
    </row>
    <row r="538" spans="1:5" x14ac:dyDescent="0.3">
      <c r="A538">
        <v>1536</v>
      </c>
      <c r="B538" t="str">
        <f>IF(TRIM(Raw_Data!B538)="","Unknown",PROPER(TRIM(Raw_Data!B538)))</f>
        <v>Unknown</v>
      </c>
      <c r="C538" t="str">
        <f>IF(TRIM(Raw_Data!C538)="","South",TRIM(Raw_Data!C538))</f>
        <v>South</v>
      </c>
      <c r="D538">
        <f>IF(TRIM(Raw_Data!D538)="",30435.80739,Raw_Data!D538)</f>
        <v>56858.61</v>
      </c>
      <c r="E538" t="str">
        <f>TEXT(Raw_Data!E538,"DD-MM-YYYY")</f>
        <v>29-12-2024</v>
      </c>
    </row>
    <row r="539" spans="1:5" x14ac:dyDescent="0.3">
      <c r="A539">
        <v>1537</v>
      </c>
      <c r="B539" t="str">
        <f>IF(TRIM(Raw_Data!B539)="","Unknown",PROPER(TRIM(Raw_Data!B539)))</f>
        <v>Monitor</v>
      </c>
      <c r="C539" t="str">
        <f>IF(TRIM(Raw_Data!C539)="","South",TRIM(Raw_Data!C539))</f>
        <v>North</v>
      </c>
      <c r="D539">
        <f>IF(TRIM(Raw_Data!D539)="",30435.80739,Raw_Data!D539)</f>
        <v>30435.807390000002</v>
      </c>
      <c r="E539" t="str">
        <f>TEXT(Raw_Data!E539,"DD-MM-YYYY")</f>
        <v>10-11-2024</v>
      </c>
    </row>
    <row r="540" spans="1:5" x14ac:dyDescent="0.3">
      <c r="A540">
        <v>1538</v>
      </c>
      <c r="B540" t="str">
        <f>IF(TRIM(Raw_Data!B540)="","Unknown",PROPER(TRIM(Raw_Data!B540)))</f>
        <v>Mouse</v>
      </c>
      <c r="C540" t="str">
        <f>IF(TRIM(Raw_Data!C540)="","South",TRIM(Raw_Data!C540))</f>
        <v>North</v>
      </c>
      <c r="D540">
        <f>IF(TRIM(Raw_Data!D540)="",30435.80739,Raw_Data!D540)</f>
        <v>6498.57</v>
      </c>
      <c r="E540" t="str">
        <f>TEXT(Raw_Data!E540,"DD-MM-YYYY")</f>
        <v>20-05-2024</v>
      </c>
    </row>
    <row r="541" spans="1:5" x14ac:dyDescent="0.3">
      <c r="A541">
        <v>1539</v>
      </c>
      <c r="B541" t="str">
        <f>IF(TRIM(Raw_Data!B541)="","Unknown",PROPER(TRIM(Raw_Data!B541)))</f>
        <v>Monitor</v>
      </c>
      <c r="C541" t="str">
        <f>IF(TRIM(Raw_Data!C541)="","South",TRIM(Raw_Data!C541))</f>
        <v>West</v>
      </c>
      <c r="D541">
        <f>IF(TRIM(Raw_Data!D541)="",30435.80739,Raw_Data!D541)</f>
        <v>6626.29</v>
      </c>
      <c r="E541" t="str">
        <f>TEXT(Raw_Data!E541,"DD-MM-YYYY")</f>
        <v>10-10-2024</v>
      </c>
    </row>
    <row r="542" spans="1:5" x14ac:dyDescent="0.3">
      <c r="A542">
        <v>1540</v>
      </c>
      <c r="B542" t="str">
        <f>IF(TRIM(Raw_Data!B542)="","Unknown",PROPER(TRIM(Raw_Data!B542)))</f>
        <v>Laptop</v>
      </c>
      <c r="C542" t="str">
        <f>IF(TRIM(Raw_Data!C542)="","South",TRIM(Raw_Data!C542))</f>
        <v>East</v>
      </c>
      <c r="D542">
        <f>IF(TRIM(Raw_Data!D542)="",30435.80739,Raw_Data!D542)</f>
        <v>40104.980000000003</v>
      </c>
      <c r="E542" t="str">
        <f>TEXT(Raw_Data!E542,"DD-MM-YYYY")</f>
        <v>28-06-2024</v>
      </c>
    </row>
    <row r="543" spans="1:5" x14ac:dyDescent="0.3">
      <c r="A543">
        <v>1541</v>
      </c>
      <c r="B543" t="str">
        <f>IF(TRIM(Raw_Data!B543)="","Unknown",PROPER(TRIM(Raw_Data!B543)))</f>
        <v>Mouse</v>
      </c>
      <c r="C543" t="str">
        <f>IF(TRIM(Raw_Data!C543)="","South",TRIM(Raw_Data!C543))</f>
        <v>West</v>
      </c>
      <c r="D543">
        <f>IF(TRIM(Raw_Data!D543)="",30435.80739,Raw_Data!D543)</f>
        <v>34747.760000000002</v>
      </c>
      <c r="E543" t="str">
        <f>TEXT(Raw_Data!E543,"DD-MM-YYYY")</f>
        <v>04-03-2024</v>
      </c>
    </row>
    <row r="544" spans="1:5" x14ac:dyDescent="0.3">
      <c r="A544">
        <v>1542</v>
      </c>
      <c r="B544" t="str">
        <f>IF(TRIM(Raw_Data!B544)="","Unknown",PROPER(TRIM(Raw_Data!B544)))</f>
        <v>Monitor</v>
      </c>
      <c r="C544" t="str">
        <f>IF(TRIM(Raw_Data!C544)="","South",TRIM(Raw_Data!C544))</f>
        <v>South</v>
      </c>
      <c r="D544">
        <f>IF(TRIM(Raw_Data!D544)="",30435.80739,Raw_Data!D544)</f>
        <v>25055.23</v>
      </c>
      <c r="E544" t="str">
        <f>TEXT(Raw_Data!E544,"DD-MM-YYYY")</f>
        <v>11-08-2024</v>
      </c>
    </row>
    <row r="545" spans="1:5" x14ac:dyDescent="0.3">
      <c r="A545">
        <v>1543</v>
      </c>
      <c r="B545" t="str">
        <f>IF(TRIM(Raw_Data!B545)="","Unknown",PROPER(TRIM(Raw_Data!B545)))</f>
        <v>Keyboard</v>
      </c>
      <c r="C545" t="str">
        <f>IF(TRIM(Raw_Data!C545)="","South",TRIM(Raw_Data!C545))</f>
        <v>North</v>
      </c>
      <c r="D545">
        <f>IF(TRIM(Raw_Data!D545)="",30435.80739,Raw_Data!D545)</f>
        <v>38848.76</v>
      </c>
      <c r="E545" t="str">
        <f>TEXT(Raw_Data!E545,"DD-MM-YYYY")</f>
        <v>08-08-2024</v>
      </c>
    </row>
    <row r="546" spans="1:5" x14ac:dyDescent="0.3">
      <c r="A546">
        <v>1544</v>
      </c>
      <c r="B546" t="str">
        <f>IF(TRIM(Raw_Data!B546)="","Unknown",PROPER(TRIM(Raw_Data!B546)))</f>
        <v>Monitor</v>
      </c>
      <c r="C546" t="str">
        <f>IF(TRIM(Raw_Data!C546)="","South",TRIM(Raw_Data!C546))</f>
        <v>East</v>
      </c>
      <c r="D546">
        <f>IF(TRIM(Raw_Data!D546)="",30435.80739,Raw_Data!D546)</f>
        <v>52631.96</v>
      </c>
      <c r="E546" t="str">
        <f>TEXT(Raw_Data!E546,"DD-MM-YYYY")</f>
        <v>30-11-2024</v>
      </c>
    </row>
    <row r="547" spans="1:5" x14ac:dyDescent="0.3">
      <c r="A547">
        <v>1545</v>
      </c>
      <c r="B547" t="str">
        <f>IF(TRIM(Raw_Data!B547)="","Unknown",PROPER(TRIM(Raw_Data!B547)))</f>
        <v>Mouse</v>
      </c>
      <c r="C547" t="str">
        <f>IF(TRIM(Raw_Data!C547)="","South",TRIM(Raw_Data!C547))</f>
        <v>South</v>
      </c>
      <c r="D547">
        <f>IF(TRIM(Raw_Data!D547)="",30435.80739,Raw_Data!D547)</f>
        <v>22268</v>
      </c>
      <c r="E547" t="str">
        <f>TEXT(Raw_Data!E547,"DD-MM-YYYY")</f>
        <v>19-11-2024</v>
      </c>
    </row>
    <row r="548" spans="1:5" x14ac:dyDescent="0.3">
      <c r="A548">
        <v>1546</v>
      </c>
      <c r="B548" t="str">
        <f>IF(TRIM(Raw_Data!B548)="","Unknown",PROPER(TRIM(Raw_Data!B548)))</f>
        <v>Keyboard</v>
      </c>
      <c r="C548" t="str">
        <f>IF(TRIM(Raw_Data!C548)="","South",TRIM(Raw_Data!C548))</f>
        <v>East</v>
      </c>
      <c r="D548">
        <f>IF(TRIM(Raw_Data!D548)="",30435.80739,Raw_Data!D548)</f>
        <v>58659.519999999997</v>
      </c>
      <c r="E548" t="str">
        <f>TEXT(Raw_Data!E548,"DD-MM-YYYY")</f>
        <v>07-06-2024</v>
      </c>
    </row>
    <row r="549" spans="1:5" x14ac:dyDescent="0.3">
      <c r="A549">
        <v>1547</v>
      </c>
      <c r="B549" t="str">
        <f>IF(TRIM(Raw_Data!B549)="","Unknown",PROPER(TRIM(Raw_Data!B549)))</f>
        <v>Monitor</v>
      </c>
      <c r="C549" t="str">
        <f>IF(TRIM(Raw_Data!C549)="","South",TRIM(Raw_Data!C549))</f>
        <v>West</v>
      </c>
      <c r="D549">
        <f>IF(TRIM(Raw_Data!D549)="",30435.80739,Raw_Data!D549)</f>
        <v>25260.240000000002</v>
      </c>
      <c r="E549" t="str">
        <f>TEXT(Raw_Data!E549,"DD-MM-YYYY")</f>
        <v>09-05-2024</v>
      </c>
    </row>
    <row r="550" spans="1:5" x14ac:dyDescent="0.3">
      <c r="A550">
        <v>1548</v>
      </c>
      <c r="B550" t="str">
        <f>IF(TRIM(Raw_Data!B550)="","Unknown",PROPER(TRIM(Raw_Data!B550)))</f>
        <v>Keyboard</v>
      </c>
      <c r="C550" t="str">
        <f>IF(TRIM(Raw_Data!C550)="","South",TRIM(Raw_Data!C550))</f>
        <v>South</v>
      </c>
      <c r="D550">
        <f>IF(TRIM(Raw_Data!D550)="",30435.80739,Raw_Data!D550)</f>
        <v>17457.349999999999</v>
      </c>
      <c r="E550" t="str">
        <f>TEXT(Raw_Data!E550,"DD-MM-YYYY")</f>
        <v>06-12-2024</v>
      </c>
    </row>
    <row r="551" spans="1:5" x14ac:dyDescent="0.3">
      <c r="A551">
        <v>1549</v>
      </c>
      <c r="B551" t="str">
        <f>IF(TRIM(Raw_Data!B551)="","Unknown",PROPER(TRIM(Raw_Data!B551)))</f>
        <v>Unknown</v>
      </c>
      <c r="C551" t="str">
        <f>IF(TRIM(Raw_Data!C551)="","South",TRIM(Raw_Data!C551))</f>
        <v>East</v>
      </c>
      <c r="D551">
        <f>IF(TRIM(Raw_Data!D551)="",30435.80739,Raw_Data!D551)</f>
        <v>18349.98</v>
      </c>
      <c r="E551" t="str">
        <f>TEXT(Raw_Data!E551,"DD-MM-YYYY")</f>
        <v>29-06-2024</v>
      </c>
    </row>
    <row r="552" spans="1:5" x14ac:dyDescent="0.3">
      <c r="A552">
        <v>1550</v>
      </c>
      <c r="B552" t="str">
        <f>IF(TRIM(Raw_Data!B552)="","Unknown",PROPER(TRIM(Raw_Data!B552)))</f>
        <v>Laptop</v>
      </c>
      <c r="C552" t="str">
        <f>IF(TRIM(Raw_Data!C552)="","South",TRIM(Raw_Data!C552))</f>
        <v>West</v>
      </c>
      <c r="D552">
        <f>IF(TRIM(Raw_Data!D552)="",30435.80739,Raw_Data!D552)</f>
        <v>40756.49</v>
      </c>
      <c r="E552" t="str">
        <f>TEXT(Raw_Data!E552,"DD-MM-YYYY")</f>
        <v>13-07-2024</v>
      </c>
    </row>
    <row r="553" spans="1:5" x14ac:dyDescent="0.3">
      <c r="A553">
        <v>1551</v>
      </c>
      <c r="B553" t="str">
        <f>IF(TRIM(Raw_Data!B553)="","Unknown",PROPER(TRIM(Raw_Data!B553)))</f>
        <v>Laptop</v>
      </c>
      <c r="C553" t="str">
        <f>IF(TRIM(Raw_Data!C553)="","South",TRIM(Raw_Data!C553))</f>
        <v>South</v>
      </c>
      <c r="D553">
        <f>IF(TRIM(Raw_Data!D553)="",30435.80739,Raw_Data!D553)</f>
        <v>26314.68</v>
      </c>
      <c r="E553" t="str">
        <f>TEXT(Raw_Data!E553,"DD-MM-YYYY")</f>
        <v>14-06-2024</v>
      </c>
    </row>
    <row r="554" spans="1:5" x14ac:dyDescent="0.3">
      <c r="A554">
        <v>1354</v>
      </c>
      <c r="B554" t="str">
        <f>IF(TRIM(Raw_Data!B554)="","Unknown",PROPER(TRIM(Raw_Data!B554)))</f>
        <v>Tablet</v>
      </c>
      <c r="C554" t="str">
        <f>IF(TRIM(Raw_Data!C554)="","South",TRIM(Raw_Data!C554))</f>
        <v>West</v>
      </c>
      <c r="D554">
        <f>IF(TRIM(Raw_Data!D554)="",30435.80739,Raw_Data!D554)</f>
        <v>40007.300000000003</v>
      </c>
      <c r="E554" t="str">
        <f>TEXT(Raw_Data!E554,"DD-MM-YYYY")</f>
        <v>11-02-2024</v>
      </c>
    </row>
    <row r="555" spans="1:5" x14ac:dyDescent="0.3">
      <c r="A555">
        <v>1553</v>
      </c>
      <c r="B555" t="str">
        <f>IF(TRIM(Raw_Data!B555)="","Unknown",PROPER(TRIM(Raw_Data!B555)))</f>
        <v>Laptop</v>
      </c>
      <c r="C555" t="str">
        <f>IF(TRIM(Raw_Data!C555)="","South",TRIM(Raw_Data!C555))</f>
        <v>South</v>
      </c>
      <c r="D555">
        <f>IF(TRIM(Raw_Data!D555)="",30435.80739,Raw_Data!D555)</f>
        <v>7693.01</v>
      </c>
      <c r="E555" t="str">
        <f>TEXT(Raw_Data!E555,"DD-MM-YYYY")</f>
        <v>01-12-2024</v>
      </c>
    </row>
    <row r="556" spans="1:5" x14ac:dyDescent="0.3">
      <c r="A556">
        <v>1554</v>
      </c>
      <c r="B556" t="str">
        <f>IF(TRIM(Raw_Data!B556)="","Unknown",PROPER(TRIM(Raw_Data!B556)))</f>
        <v>Tablet</v>
      </c>
      <c r="C556" t="str">
        <f>IF(TRIM(Raw_Data!C556)="","South",TRIM(Raw_Data!C556))</f>
        <v>West</v>
      </c>
      <c r="D556">
        <f>IF(TRIM(Raw_Data!D556)="",30435.80739,Raw_Data!D556)</f>
        <v>30435.807390000002</v>
      </c>
      <c r="E556" t="str">
        <f>TEXT(Raw_Data!E556,"DD-MM-YYYY")</f>
        <v>17-12-2024</v>
      </c>
    </row>
    <row r="557" spans="1:5" x14ac:dyDescent="0.3">
      <c r="A557">
        <v>1555</v>
      </c>
      <c r="B557" t="str">
        <f>IF(TRIM(Raw_Data!B557)="","Unknown",PROPER(TRIM(Raw_Data!B557)))</f>
        <v>Laptop</v>
      </c>
      <c r="C557" t="str">
        <f>IF(TRIM(Raw_Data!C557)="","South",TRIM(Raw_Data!C557))</f>
        <v>East</v>
      </c>
      <c r="D557">
        <f>IF(TRIM(Raw_Data!D557)="",30435.80739,Raw_Data!D557)</f>
        <v>30063.34</v>
      </c>
      <c r="E557" t="str">
        <f>TEXT(Raw_Data!E557,"DD-MM-YYYY")</f>
        <v>07-06-2024</v>
      </c>
    </row>
    <row r="558" spans="1:5" x14ac:dyDescent="0.3">
      <c r="A558">
        <v>1556</v>
      </c>
      <c r="B558" t="str">
        <f>IF(TRIM(Raw_Data!B558)="","Unknown",PROPER(TRIM(Raw_Data!B558)))</f>
        <v>Mouse</v>
      </c>
      <c r="C558" t="str">
        <f>IF(TRIM(Raw_Data!C558)="","South",TRIM(Raw_Data!C558))</f>
        <v>East</v>
      </c>
      <c r="D558">
        <f>IF(TRIM(Raw_Data!D558)="",30435.80739,Raw_Data!D558)</f>
        <v>30435.807390000002</v>
      </c>
      <c r="E558" t="str">
        <f>TEXT(Raw_Data!E558,"DD-MM-YYYY")</f>
        <v>19-04-2024</v>
      </c>
    </row>
    <row r="559" spans="1:5" x14ac:dyDescent="0.3">
      <c r="A559">
        <v>1557</v>
      </c>
      <c r="B559" t="str">
        <f>IF(TRIM(Raw_Data!B559)="","Unknown",PROPER(TRIM(Raw_Data!B559)))</f>
        <v>Monitor</v>
      </c>
      <c r="C559" t="str">
        <f>IF(TRIM(Raw_Data!C559)="","South",TRIM(Raw_Data!C559))</f>
        <v>North</v>
      </c>
      <c r="D559">
        <f>IF(TRIM(Raw_Data!D559)="",30435.80739,Raw_Data!D559)</f>
        <v>9453.61</v>
      </c>
      <c r="E559" t="str">
        <f>TEXT(Raw_Data!E559,"DD-MM-YYYY")</f>
        <v>05-02-2024</v>
      </c>
    </row>
    <row r="560" spans="1:5" x14ac:dyDescent="0.3">
      <c r="A560">
        <v>1558</v>
      </c>
      <c r="B560" t="str">
        <f>IF(TRIM(Raw_Data!B560)="","Unknown",PROPER(TRIM(Raw_Data!B560)))</f>
        <v>Tablet</v>
      </c>
      <c r="C560" t="str">
        <f>IF(TRIM(Raw_Data!C560)="","South",TRIM(Raw_Data!C560))</f>
        <v>North</v>
      </c>
      <c r="D560">
        <f>IF(TRIM(Raw_Data!D560)="",30435.80739,Raw_Data!D560)</f>
        <v>50414.32</v>
      </c>
      <c r="E560" t="str">
        <f>TEXT(Raw_Data!E560,"DD-MM-YYYY")</f>
        <v>27-05-2024</v>
      </c>
    </row>
    <row r="561" spans="1:5" x14ac:dyDescent="0.3">
      <c r="A561">
        <v>1033</v>
      </c>
      <c r="B561" t="str">
        <f>IF(TRIM(Raw_Data!B561)="","Unknown",PROPER(TRIM(Raw_Data!B561)))</f>
        <v>Tablet</v>
      </c>
      <c r="C561" t="str">
        <f>IF(TRIM(Raw_Data!C561)="","South",TRIM(Raw_Data!C561))</f>
        <v>North</v>
      </c>
      <c r="D561">
        <f>IF(TRIM(Raw_Data!D561)="",30435.80739,Raw_Data!D561)</f>
        <v>38388.980000000003</v>
      </c>
      <c r="E561" t="str">
        <f>TEXT(Raw_Data!E561,"DD-MM-YYYY")</f>
        <v>18-08-2024</v>
      </c>
    </row>
    <row r="562" spans="1:5" x14ac:dyDescent="0.3">
      <c r="A562">
        <v>1560</v>
      </c>
      <c r="B562" t="str">
        <f>IF(TRIM(Raw_Data!B562)="","Unknown",PROPER(TRIM(Raw_Data!B562)))</f>
        <v>Monitor</v>
      </c>
      <c r="C562" t="str">
        <f>IF(TRIM(Raw_Data!C562)="","South",TRIM(Raw_Data!C562))</f>
        <v>West</v>
      </c>
      <c r="D562">
        <f>IF(TRIM(Raw_Data!D562)="",30435.80739,Raw_Data!D562)</f>
        <v>21221.119999999999</v>
      </c>
      <c r="E562" t="str">
        <f>TEXT(Raw_Data!E562,"DD-MM-YYYY")</f>
        <v>14-10-2024</v>
      </c>
    </row>
    <row r="563" spans="1:5" x14ac:dyDescent="0.3">
      <c r="A563">
        <v>1561</v>
      </c>
      <c r="B563" t="str">
        <f>IF(TRIM(Raw_Data!B563)="","Unknown",PROPER(TRIM(Raw_Data!B563)))</f>
        <v>Monitor</v>
      </c>
      <c r="C563" t="str">
        <f>IF(TRIM(Raw_Data!C563)="","South",TRIM(Raw_Data!C563))</f>
        <v>North</v>
      </c>
      <c r="D563">
        <f>IF(TRIM(Raw_Data!D563)="",30435.80739,Raw_Data!D563)</f>
        <v>39049.269999999997</v>
      </c>
      <c r="E563" t="str">
        <f>TEXT(Raw_Data!E563,"DD-MM-YYYY")</f>
        <v>12-09-2024</v>
      </c>
    </row>
    <row r="564" spans="1:5" x14ac:dyDescent="0.3">
      <c r="A564">
        <v>1369</v>
      </c>
      <c r="B564" t="str">
        <f>IF(TRIM(Raw_Data!B564)="","Unknown",PROPER(TRIM(Raw_Data!B564)))</f>
        <v>Monitor</v>
      </c>
      <c r="C564" t="str">
        <f>IF(TRIM(Raw_Data!C564)="","South",TRIM(Raw_Data!C564))</f>
        <v>West</v>
      </c>
      <c r="D564">
        <f>IF(TRIM(Raw_Data!D564)="",30435.80739,Raw_Data!D564)</f>
        <v>1760.95</v>
      </c>
      <c r="E564" t="str">
        <f>TEXT(Raw_Data!E564,"DD-MM-YYYY")</f>
        <v>14-10-2024</v>
      </c>
    </row>
    <row r="565" spans="1:5" x14ac:dyDescent="0.3">
      <c r="A565">
        <v>1563</v>
      </c>
      <c r="B565" t="str">
        <f>IF(TRIM(Raw_Data!B565)="","Unknown",PROPER(TRIM(Raw_Data!B565)))</f>
        <v>Laptop</v>
      </c>
      <c r="C565" t="str">
        <f>IF(TRIM(Raw_Data!C565)="","South",TRIM(Raw_Data!C565))</f>
        <v>West</v>
      </c>
      <c r="D565">
        <f>IF(TRIM(Raw_Data!D565)="",30435.80739,Raw_Data!D565)</f>
        <v>23418.77</v>
      </c>
      <c r="E565" t="str">
        <f>TEXT(Raw_Data!E565,"DD-MM-YYYY")</f>
        <v>20-11-2024</v>
      </c>
    </row>
    <row r="566" spans="1:5" x14ac:dyDescent="0.3">
      <c r="A566">
        <v>1564</v>
      </c>
      <c r="B566" t="str">
        <f>IF(TRIM(Raw_Data!B566)="","Unknown",PROPER(TRIM(Raw_Data!B566)))</f>
        <v>Mouse</v>
      </c>
      <c r="C566" t="str">
        <f>IF(TRIM(Raw_Data!C566)="","South",TRIM(Raw_Data!C566))</f>
        <v>South</v>
      </c>
      <c r="D566">
        <f>IF(TRIM(Raw_Data!D566)="",30435.80739,Raw_Data!D566)</f>
        <v>59252.83</v>
      </c>
      <c r="E566" t="str">
        <f>TEXT(Raw_Data!E566,"DD-MM-YYYY")</f>
        <v>09-12-2024</v>
      </c>
    </row>
    <row r="567" spans="1:5" x14ac:dyDescent="0.3">
      <c r="A567">
        <v>1565</v>
      </c>
      <c r="B567" t="str">
        <f>IF(TRIM(Raw_Data!B567)="","Unknown",PROPER(TRIM(Raw_Data!B567)))</f>
        <v>Tablet</v>
      </c>
      <c r="C567" t="str">
        <f>IF(TRIM(Raw_Data!C567)="","South",TRIM(Raw_Data!C567))</f>
        <v>South</v>
      </c>
      <c r="D567">
        <f>IF(TRIM(Raw_Data!D567)="",30435.80739,Raw_Data!D567)</f>
        <v>29111.22</v>
      </c>
      <c r="E567" t="str">
        <f>TEXT(Raw_Data!E567,"DD-MM-YYYY")</f>
        <v>08-05-2024</v>
      </c>
    </row>
    <row r="568" spans="1:5" x14ac:dyDescent="0.3">
      <c r="A568">
        <v>1566</v>
      </c>
      <c r="B568" t="str">
        <f>IF(TRIM(Raw_Data!B568)="","Unknown",PROPER(TRIM(Raw_Data!B568)))</f>
        <v>Laptop</v>
      </c>
      <c r="C568" t="str">
        <f>IF(TRIM(Raw_Data!C568)="","South",TRIM(Raw_Data!C568))</f>
        <v>West</v>
      </c>
      <c r="D568">
        <f>IF(TRIM(Raw_Data!D568)="",30435.80739,Raw_Data!D568)</f>
        <v>8571.23</v>
      </c>
      <c r="E568" t="str">
        <f>TEXT(Raw_Data!E568,"DD-MM-YYYY")</f>
        <v>29-12-2024</v>
      </c>
    </row>
    <row r="569" spans="1:5" x14ac:dyDescent="0.3">
      <c r="A569">
        <v>1567</v>
      </c>
      <c r="B569" t="str">
        <f>IF(TRIM(Raw_Data!B569)="","Unknown",PROPER(TRIM(Raw_Data!B569)))</f>
        <v>Monitor</v>
      </c>
      <c r="C569" t="str">
        <f>IF(TRIM(Raw_Data!C569)="","South",TRIM(Raw_Data!C569))</f>
        <v>North</v>
      </c>
      <c r="D569">
        <f>IF(TRIM(Raw_Data!D569)="",30435.80739,Raw_Data!D569)</f>
        <v>37531.19</v>
      </c>
      <c r="E569" t="str">
        <f>TEXT(Raw_Data!E569,"DD-MM-YYYY")</f>
        <v>20-05-2024</v>
      </c>
    </row>
    <row r="570" spans="1:5" x14ac:dyDescent="0.3">
      <c r="A570">
        <v>1568</v>
      </c>
      <c r="B570" t="str">
        <f>IF(TRIM(Raw_Data!B570)="","Unknown",PROPER(TRIM(Raw_Data!B570)))</f>
        <v>Keyboard</v>
      </c>
      <c r="C570" t="str">
        <f>IF(TRIM(Raw_Data!C570)="","South",TRIM(Raw_Data!C570))</f>
        <v>West</v>
      </c>
      <c r="D570">
        <f>IF(TRIM(Raw_Data!D570)="",30435.80739,Raw_Data!D570)</f>
        <v>14335.96</v>
      </c>
      <c r="E570" t="str">
        <f>TEXT(Raw_Data!E570,"DD-MM-YYYY")</f>
        <v>18-07-2024</v>
      </c>
    </row>
    <row r="571" spans="1:5" x14ac:dyDescent="0.3">
      <c r="A571">
        <v>1569</v>
      </c>
      <c r="B571" t="str">
        <f>IF(TRIM(Raw_Data!B571)="","Unknown",PROPER(TRIM(Raw_Data!B571)))</f>
        <v>Monitor</v>
      </c>
      <c r="C571" t="str">
        <f>IF(TRIM(Raw_Data!C571)="","South",TRIM(Raw_Data!C571))</f>
        <v>South</v>
      </c>
      <c r="D571">
        <f>IF(TRIM(Raw_Data!D571)="",30435.80739,Raw_Data!D571)</f>
        <v>4364.59</v>
      </c>
      <c r="E571" t="str">
        <f>TEXT(Raw_Data!E571,"DD-MM-YYYY")</f>
        <v>08-02-2024</v>
      </c>
    </row>
    <row r="572" spans="1:5" x14ac:dyDescent="0.3">
      <c r="A572">
        <v>1570</v>
      </c>
      <c r="B572" t="str">
        <f>IF(TRIM(Raw_Data!B572)="","Unknown",PROPER(TRIM(Raw_Data!B572)))</f>
        <v>Unknown</v>
      </c>
      <c r="C572" t="str">
        <f>IF(TRIM(Raw_Data!C572)="","South",TRIM(Raw_Data!C572))</f>
        <v>West</v>
      </c>
      <c r="D572">
        <f>IF(TRIM(Raw_Data!D572)="",30435.80739,Raw_Data!D572)</f>
        <v>31869.57</v>
      </c>
      <c r="E572" t="str">
        <f>TEXT(Raw_Data!E572,"DD-MM-YYYY")</f>
        <v>01-10-2024</v>
      </c>
    </row>
    <row r="573" spans="1:5" x14ac:dyDescent="0.3">
      <c r="A573">
        <v>1571</v>
      </c>
      <c r="B573" t="str">
        <f>IF(TRIM(Raw_Data!B573)="","Unknown",PROPER(TRIM(Raw_Data!B573)))</f>
        <v>Keyboard</v>
      </c>
      <c r="C573" t="str">
        <f>IF(TRIM(Raw_Data!C573)="","South",TRIM(Raw_Data!C573))</f>
        <v>West</v>
      </c>
      <c r="D573">
        <f>IF(TRIM(Raw_Data!D573)="",30435.80739,Raw_Data!D573)</f>
        <v>35404.68</v>
      </c>
      <c r="E573" t="str">
        <f>TEXT(Raw_Data!E573,"DD-MM-YYYY")</f>
        <v>19-09-2024</v>
      </c>
    </row>
    <row r="574" spans="1:5" x14ac:dyDescent="0.3">
      <c r="A574">
        <v>1572</v>
      </c>
      <c r="B574" t="str">
        <f>IF(TRIM(Raw_Data!B574)="","Unknown",PROPER(TRIM(Raw_Data!B574)))</f>
        <v>Mouse</v>
      </c>
      <c r="C574" t="str">
        <f>IF(TRIM(Raw_Data!C574)="","South",TRIM(Raw_Data!C574))</f>
        <v>South</v>
      </c>
      <c r="D574">
        <f>IF(TRIM(Raw_Data!D574)="",30435.80739,Raw_Data!D574)</f>
        <v>54769.01</v>
      </c>
      <c r="E574" t="str">
        <f>TEXT(Raw_Data!E574,"DD-MM-YYYY")</f>
        <v>15-02-2024</v>
      </c>
    </row>
    <row r="575" spans="1:5" x14ac:dyDescent="0.3">
      <c r="A575">
        <v>1573</v>
      </c>
      <c r="B575" t="str">
        <f>IF(TRIM(Raw_Data!B575)="","Unknown",PROPER(TRIM(Raw_Data!B575)))</f>
        <v>Monitor</v>
      </c>
      <c r="C575" t="str">
        <f>IF(TRIM(Raw_Data!C575)="","South",TRIM(Raw_Data!C575))</f>
        <v>North</v>
      </c>
      <c r="D575">
        <f>IF(TRIM(Raw_Data!D575)="",30435.80739,Raw_Data!D575)</f>
        <v>38059.050000000003</v>
      </c>
      <c r="E575" t="str">
        <f>TEXT(Raw_Data!E575,"DD-MM-YYYY")</f>
        <v>31-10-2024</v>
      </c>
    </row>
    <row r="576" spans="1:5" x14ac:dyDescent="0.3">
      <c r="A576">
        <v>1574</v>
      </c>
      <c r="B576" t="str">
        <f>IF(TRIM(Raw_Data!B576)="","Unknown",PROPER(TRIM(Raw_Data!B576)))</f>
        <v>Laptop</v>
      </c>
      <c r="C576" t="str">
        <f>IF(TRIM(Raw_Data!C576)="","South",TRIM(Raw_Data!C576))</f>
        <v>South</v>
      </c>
      <c r="D576">
        <f>IF(TRIM(Raw_Data!D576)="",30435.80739,Raw_Data!D576)</f>
        <v>35204.14</v>
      </c>
      <c r="E576" t="str">
        <f>TEXT(Raw_Data!E576,"DD-MM-YYYY")</f>
        <v>08-11-2024</v>
      </c>
    </row>
    <row r="577" spans="1:5" x14ac:dyDescent="0.3">
      <c r="A577">
        <v>1575</v>
      </c>
      <c r="B577" t="str">
        <f>IF(TRIM(Raw_Data!B577)="","Unknown",PROPER(TRIM(Raw_Data!B577)))</f>
        <v>Tablet</v>
      </c>
      <c r="C577" t="str">
        <f>IF(TRIM(Raw_Data!C577)="","South",TRIM(Raw_Data!C577))</f>
        <v>East</v>
      </c>
      <c r="D577">
        <f>IF(TRIM(Raw_Data!D577)="",30435.80739,Raw_Data!D577)</f>
        <v>59867.21</v>
      </c>
      <c r="E577" t="str">
        <f>TEXT(Raw_Data!E577,"DD-MM-YYYY")</f>
        <v>26-07-2024</v>
      </c>
    </row>
    <row r="578" spans="1:5" x14ac:dyDescent="0.3">
      <c r="A578">
        <v>1576</v>
      </c>
      <c r="B578" t="str">
        <f>IF(TRIM(Raw_Data!B578)="","Unknown",PROPER(TRIM(Raw_Data!B578)))</f>
        <v>Mouse</v>
      </c>
      <c r="C578" t="str">
        <f>IF(TRIM(Raw_Data!C578)="","South",TRIM(Raw_Data!C578))</f>
        <v>North</v>
      </c>
      <c r="D578">
        <f>IF(TRIM(Raw_Data!D578)="",30435.80739,Raw_Data!D578)</f>
        <v>1011.01</v>
      </c>
      <c r="E578" t="str">
        <f>TEXT(Raw_Data!E578,"DD-MM-YYYY")</f>
        <v>16-02-2024</v>
      </c>
    </row>
    <row r="579" spans="1:5" x14ac:dyDescent="0.3">
      <c r="A579">
        <v>1577</v>
      </c>
      <c r="B579" t="str">
        <f>IF(TRIM(Raw_Data!B579)="","Unknown",PROPER(TRIM(Raw_Data!B579)))</f>
        <v>Monitor</v>
      </c>
      <c r="C579" t="str">
        <f>IF(TRIM(Raw_Data!C579)="","South",TRIM(Raw_Data!C579))</f>
        <v>West</v>
      </c>
      <c r="D579">
        <f>IF(TRIM(Raw_Data!D579)="",30435.80739,Raw_Data!D579)</f>
        <v>8985.9699999999993</v>
      </c>
      <c r="E579" t="str">
        <f>TEXT(Raw_Data!E579,"DD-MM-YYYY")</f>
        <v>17-06-2024</v>
      </c>
    </row>
    <row r="580" spans="1:5" x14ac:dyDescent="0.3">
      <c r="A580">
        <v>1578</v>
      </c>
      <c r="B580" t="str">
        <f>IF(TRIM(Raw_Data!B580)="","Unknown",PROPER(TRIM(Raw_Data!B580)))</f>
        <v>Tablet</v>
      </c>
      <c r="C580" t="str">
        <f>IF(TRIM(Raw_Data!C580)="","South",TRIM(Raw_Data!C580))</f>
        <v>West</v>
      </c>
      <c r="D580">
        <f>IF(TRIM(Raw_Data!D580)="",30435.80739,Raw_Data!D580)</f>
        <v>18544.330000000002</v>
      </c>
      <c r="E580" t="str">
        <f>TEXT(Raw_Data!E580,"DD-MM-YYYY")</f>
        <v>23-08-2024</v>
      </c>
    </row>
    <row r="581" spans="1:5" x14ac:dyDescent="0.3">
      <c r="A581">
        <v>1579</v>
      </c>
      <c r="B581" t="str">
        <f>IF(TRIM(Raw_Data!B581)="","Unknown",PROPER(TRIM(Raw_Data!B581)))</f>
        <v>Mouse</v>
      </c>
      <c r="C581" t="str">
        <f>IF(TRIM(Raw_Data!C581)="","South",TRIM(Raw_Data!C581))</f>
        <v>North</v>
      </c>
      <c r="D581">
        <f>IF(TRIM(Raw_Data!D581)="",30435.80739,Raw_Data!D581)</f>
        <v>36118.550000000003</v>
      </c>
      <c r="E581" t="str">
        <f>TEXT(Raw_Data!E581,"DD-MM-YYYY")</f>
        <v>07-07-2024</v>
      </c>
    </row>
    <row r="582" spans="1:5" x14ac:dyDescent="0.3">
      <c r="A582">
        <v>1580</v>
      </c>
      <c r="B582" t="str">
        <f>IF(TRIM(Raw_Data!B582)="","Unknown",PROPER(TRIM(Raw_Data!B582)))</f>
        <v>Tablet</v>
      </c>
      <c r="C582" t="str">
        <f>IF(TRIM(Raw_Data!C582)="","South",TRIM(Raw_Data!C582))</f>
        <v>West</v>
      </c>
      <c r="D582">
        <f>IF(TRIM(Raw_Data!D582)="",30435.80739,Raw_Data!D582)</f>
        <v>54573.09</v>
      </c>
      <c r="E582" t="str">
        <f>TEXT(Raw_Data!E582,"DD-MM-YYYY")</f>
        <v>25-05-2024</v>
      </c>
    </row>
    <row r="583" spans="1:5" x14ac:dyDescent="0.3">
      <c r="A583">
        <v>1581</v>
      </c>
      <c r="B583" t="str">
        <f>IF(TRIM(Raw_Data!B583)="","Unknown",PROPER(TRIM(Raw_Data!B583)))</f>
        <v>Keyboard</v>
      </c>
      <c r="C583" t="str">
        <f>IF(TRIM(Raw_Data!C583)="","South",TRIM(Raw_Data!C583))</f>
        <v>West</v>
      </c>
      <c r="D583">
        <f>IF(TRIM(Raw_Data!D583)="",30435.80739,Raw_Data!D583)</f>
        <v>37249.599999999999</v>
      </c>
      <c r="E583" t="str">
        <f>TEXT(Raw_Data!E583,"DD-MM-YYYY")</f>
        <v>08-02-2024</v>
      </c>
    </row>
    <row r="584" spans="1:5" x14ac:dyDescent="0.3">
      <c r="A584">
        <v>1582</v>
      </c>
      <c r="B584" t="str">
        <f>IF(TRIM(Raw_Data!B584)="","Unknown",PROPER(TRIM(Raw_Data!B584)))</f>
        <v>Laptop</v>
      </c>
      <c r="C584" t="str">
        <f>IF(TRIM(Raw_Data!C584)="","South",TRIM(Raw_Data!C584))</f>
        <v>South</v>
      </c>
      <c r="D584">
        <f>IF(TRIM(Raw_Data!D584)="",30435.80739,Raw_Data!D584)</f>
        <v>38175.49</v>
      </c>
      <c r="E584" t="str">
        <f>TEXT(Raw_Data!E584,"DD-MM-YYYY")</f>
        <v>09-08-2024</v>
      </c>
    </row>
    <row r="585" spans="1:5" x14ac:dyDescent="0.3">
      <c r="A585">
        <v>1583</v>
      </c>
      <c r="B585" t="str">
        <f>IF(TRIM(Raw_Data!B585)="","Unknown",PROPER(TRIM(Raw_Data!B585)))</f>
        <v>Keyboard</v>
      </c>
      <c r="C585" t="str">
        <f>IF(TRIM(Raw_Data!C585)="","South",TRIM(Raw_Data!C585))</f>
        <v>South</v>
      </c>
      <c r="D585">
        <f>IF(TRIM(Raw_Data!D585)="",30435.80739,Raw_Data!D585)</f>
        <v>20215.400000000001</v>
      </c>
      <c r="E585" t="str">
        <f>TEXT(Raw_Data!E585,"DD-MM-YYYY")</f>
        <v>10-03-2024</v>
      </c>
    </row>
    <row r="586" spans="1:5" x14ac:dyDescent="0.3">
      <c r="A586">
        <v>1584</v>
      </c>
      <c r="B586" t="str">
        <f>IF(TRIM(Raw_Data!B586)="","Unknown",PROPER(TRIM(Raw_Data!B586)))</f>
        <v>Keyboard</v>
      </c>
      <c r="C586" t="str">
        <f>IF(TRIM(Raw_Data!C586)="","South",TRIM(Raw_Data!C586))</f>
        <v>North</v>
      </c>
      <c r="D586">
        <f>IF(TRIM(Raw_Data!D586)="",30435.80739,Raw_Data!D586)</f>
        <v>30435.807390000002</v>
      </c>
      <c r="E586" t="str">
        <f>TEXT(Raw_Data!E586,"DD-MM-YYYY")</f>
        <v>02-02-2024</v>
      </c>
    </row>
    <row r="587" spans="1:5" x14ac:dyDescent="0.3">
      <c r="A587">
        <v>1585</v>
      </c>
      <c r="B587" t="str">
        <f>IF(TRIM(Raw_Data!B587)="","Unknown",PROPER(TRIM(Raw_Data!B587)))</f>
        <v>Monitor</v>
      </c>
      <c r="C587" t="str">
        <f>IF(TRIM(Raw_Data!C587)="","South",TRIM(Raw_Data!C587))</f>
        <v>West</v>
      </c>
      <c r="D587">
        <f>IF(TRIM(Raw_Data!D587)="",30435.80739,Raw_Data!D587)</f>
        <v>1761.53</v>
      </c>
      <c r="E587" t="str">
        <f>TEXT(Raw_Data!E587,"DD-MM-YYYY")</f>
        <v>29-01-2024</v>
      </c>
    </row>
    <row r="588" spans="1:5" x14ac:dyDescent="0.3">
      <c r="A588">
        <v>1586</v>
      </c>
      <c r="B588" t="str">
        <f>IF(TRIM(Raw_Data!B588)="","Unknown",PROPER(TRIM(Raw_Data!B588)))</f>
        <v>Mouse</v>
      </c>
      <c r="C588" t="str">
        <f>IF(TRIM(Raw_Data!C588)="","South",TRIM(Raw_Data!C588))</f>
        <v>South</v>
      </c>
      <c r="D588">
        <f>IF(TRIM(Raw_Data!D588)="",30435.80739,Raw_Data!D588)</f>
        <v>4219.3599999999997</v>
      </c>
      <c r="E588" t="str">
        <f>TEXT(Raw_Data!E588,"DD-MM-YYYY")</f>
        <v>15-09-2024</v>
      </c>
    </row>
    <row r="589" spans="1:5" x14ac:dyDescent="0.3">
      <c r="A589">
        <v>1587</v>
      </c>
      <c r="B589" t="str">
        <f>IF(TRIM(Raw_Data!B589)="","Unknown",PROPER(TRIM(Raw_Data!B589)))</f>
        <v>Mouse</v>
      </c>
      <c r="C589" t="str">
        <f>IF(TRIM(Raw_Data!C589)="","South",TRIM(Raw_Data!C589))</f>
        <v>North</v>
      </c>
      <c r="D589">
        <f>IF(TRIM(Raw_Data!D589)="",30435.80739,Raw_Data!D589)</f>
        <v>12616.38</v>
      </c>
      <c r="E589" t="str">
        <f>TEXT(Raw_Data!E589,"DD-MM-YYYY")</f>
        <v>11-01-2024</v>
      </c>
    </row>
    <row r="590" spans="1:5" x14ac:dyDescent="0.3">
      <c r="A590">
        <v>1588</v>
      </c>
      <c r="B590" t="str">
        <f>IF(TRIM(Raw_Data!B590)="","Unknown",PROPER(TRIM(Raw_Data!B590)))</f>
        <v>Mouse</v>
      </c>
      <c r="C590" t="str">
        <f>IF(TRIM(Raw_Data!C590)="","South",TRIM(Raw_Data!C590))</f>
        <v>East</v>
      </c>
      <c r="D590">
        <f>IF(TRIM(Raw_Data!D590)="",30435.80739,Raw_Data!D590)</f>
        <v>38256.07</v>
      </c>
      <c r="E590" t="str">
        <f>TEXT(Raw_Data!E590,"DD-MM-YYYY")</f>
        <v>25-01-2024</v>
      </c>
    </row>
    <row r="591" spans="1:5" x14ac:dyDescent="0.3">
      <c r="A591">
        <v>1589</v>
      </c>
      <c r="B591" t="str">
        <f>IF(TRIM(Raw_Data!B591)="","Unknown",PROPER(TRIM(Raw_Data!B591)))</f>
        <v>Laptop</v>
      </c>
      <c r="C591" t="str">
        <f>IF(TRIM(Raw_Data!C591)="","South",TRIM(Raw_Data!C591))</f>
        <v>South</v>
      </c>
      <c r="D591">
        <f>IF(TRIM(Raw_Data!D591)="",30435.80739,Raw_Data!D591)</f>
        <v>1845.52</v>
      </c>
      <c r="E591" t="str">
        <f>TEXT(Raw_Data!E591,"DD-MM-YYYY")</f>
        <v>21-09-2024</v>
      </c>
    </row>
    <row r="592" spans="1:5" x14ac:dyDescent="0.3">
      <c r="A592">
        <v>1590</v>
      </c>
      <c r="B592" t="str">
        <f>IF(TRIM(Raw_Data!B592)="","Unknown",PROPER(TRIM(Raw_Data!B592)))</f>
        <v>Monitor</v>
      </c>
      <c r="C592" t="str">
        <f>IF(TRIM(Raw_Data!C592)="","South",TRIM(Raw_Data!C592))</f>
        <v>East</v>
      </c>
      <c r="D592">
        <f>IF(TRIM(Raw_Data!D592)="",30435.80739,Raw_Data!D592)</f>
        <v>50397</v>
      </c>
      <c r="E592" t="str">
        <f>TEXT(Raw_Data!E592,"DD-MM-YYYY")</f>
        <v>07-09-2024</v>
      </c>
    </row>
    <row r="593" spans="1:5" x14ac:dyDescent="0.3">
      <c r="A593">
        <v>1591</v>
      </c>
      <c r="B593" t="str">
        <f>IF(TRIM(Raw_Data!B593)="","Unknown",PROPER(TRIM(Raw_Data!B593)))</f>
        <v>Tablet</v>
      </c>
      <c r="C593" t="str">
        <f>IF(TRIM(Raw_Data!C593)="","South",TRIM(Raw_Data!C593))</f>
        <v>North</v>
      </c>
      <c r="D593">
        <f>IF(TRIM(Raw_Data!D593)="",30435.80739,Raw_Data!D593)</f>
        <v>23815.72</v>
      </c>
      <c r="E593" t="str">
        <f>TEXT(Raw_Data!E593,"DD-MM-YYYY")</f>
        <v>06-01-2024</v>
      </c>
    </row>
    <row r="594" spans="1:5" x14ac:dyDescent="0.3">
      <c r="A594">
        <v>1592</v>
      </c>
      <c r="B594" t="str">
        <f>IF(TRIM(Raw_Data!B594)="","Unknown",PROPER(TRIM(Raw_Data!B594)))</f>
        <v>Tablet</v>
      </c>
      <c r="C594" t="str">
        <f>IF(TRIM(Raw_Data!C594)="","South",TRIM(Raw_Data!C594))</f>
        <v>East</v>
      </c>
      <c r="D594">
        <f>IF(TRIM(Raw_Data!D594)="",30435.80739,Raw_Data!D594)</f>
        <v>28991.66</v>
      </c>
      <c r="E594" t="str">
        <f>TEXT(Raw_Data!E594,"DD-MM-YYYY")</f>
        <v>27-06-2024</v>
      </c>
    </row>
    <row r="595" spans="1:5" x14ac:dyDescent="0.3">
      <c r="A595">
        <v>1593</v>
      </c>
      <c r="B595" t="str">
        <f>IF(TRIM(Raw_Data!B595)="","Unknown",PROPER(TRIM(Raw_Data!B595)))</f>
        <v>Tablet</v>
      </c>
      <c r="C595" t="str">
        <f>IF(TRIM(Raw_Data!C595)="","South",TRIM(Raw_Data!C595))</f>
        <v>North</v>
      </c>
      <c r="D595">
        <f>IF(TRIM(Raw_Data!D595)="",30435.80739,Raw_Data!D595)</f>
        <v>33914.550000000003</v>
      </c>
      <c r="E595" t="str">
        <f>TEXT(Raw_Data!E595,"DD-MM-YYYY")</f>
        <v>28-11-2024</v>
      </c>
    </row>
    <row r="596" spans="1:5" x14ac:dyDescent="0.3">
      <c r="A596">
        <v>1594</v>
      </c>
      <c r="B596" t="str">
        <f>IF(TRIM(Raw_Data!B596)="","Unknown",PROPER(TRIM(Raw_Data!B596)))</f>
        <v>Mouse</v>
      </c>
      <c r="C596" t="str">
        <f>IF(TRIM(Raw_Data!C596)="","South",TRIM(Raw_Data!C596))</f>
        <v>North</v>
      </c>
      <c r="D596">
        <f>IF(TRIM(Raw_Data!D596)="",30435.80739,Raw_Data!D596)</f>
        <v>31969.1</v>
      </c>
      <c r="E596" t="str">
        <f>TEXT(Raw_Data!E596,"DD-MM-YYYY")</f>
        <v>01-01-2024</v>
      </c>
    </row>
    <row r="597" spans="1:5" x14ac:dyDescent="0.3">
      <c r="A597">
        <v>1595</v>
      </c>
      <c r="B597" t="str">
        <f>IF(TRIM(Raw_Data!B597)="","Unknown",PROPER(TRIM(Raw_Data!B597)))</f>
        <v>Monitor</v>
      </c>
      <c r="C597" t="str">
        <f>IF(TRIM(Raw_Data!C597)="","South",TRIM(Raw_Data!C597))</f>
        <v>North</v>
      </c>
      <c r="D597">
        <f>IF(TRIM(Raw_Data!D597)="",30435.80739,Raw_Data!D597)</f>
        <v>47992.58</v>
      </c>
      <c r="E597" t="str">
        <f>TEXT(Raw_Data!E597,"DD-MM-YYYY")</f>
        <v>29-11-2024</v>
      </c>
    </row>
    <row r="598" spans="1:5" x14ac:dyDescent="0.3">
      <c r="A598">
        <v>1596</v>
      </c>
      <c r="B598" t="str">
        <f>IF(TRIM(Raw_Data!B598)="","Unknown",PROPER(TRIM(Raw_Data!B598)))</f>
        <v>Monitor</v>
      </c>
      <c r="C598" t="str">
        <f>IF(TRIM(Raw_Data!C598)="","South",TRIM(Raw_Data!C598))</f>
        <v>South</v>
      </c>
      <c r="D598">
        <f>IF(TRIM(Raw_Data!D598)="",30435.80739,Raw_Data!D598)</f>
        <v>9410.84</v>
      </c>
      <c r="E598" t="str">
        <f>TEXT(Raw_Data!E598,"DD-MM-YYYY")</f>
        <v>20-05-2024</v>
      </c>
    </row>
    <row r="599" spans="1:5" x14ac:dyDescent="0.3">
      <c r="A599">
        <v>1597</v>
      </c>
      <c r="B599" t="str">
        <f>IF(TRIM(Raw_Data!B599)="","Unknown",PROPER(TRIM(Raw_Data!B599)))</f>
        <v>Monitor</v>
      </c>
      <c r="C599" t="str">
        <f>IF(TRIM(Raw_Data!C599)="","South",TRIM(Raw_Data!C599))</f>
        <v>East</v>
      </c>
      <c r="D599">
        <f>IF(TRIM(Raw_Data!D599)="",30435.80739,Raw_Data!D599)</f>
        <v>20537.64</v>
      </c>
      <c r="E599" t="str">
        <f>TEXT(Raw_Data!E599,"DD-MM-YYYY")</f>
        <v>08-06-2024</v>
      </c>
    </row>
    <row r="600" spans="1:5" x14ac:dyDescent="0.3">
      <c r="A600">
        <v>1598</v>
      </c>
      <c r="B600" t="str">
        <f>IF(TRIM(Raw_Data!B600)="","Unknown",PROPER(TRIM(Raw_Data!B600)))</f>
        <v>Mouse</v>
      </c>
      <c r="C600" t="str">
        <f>IF(TRIM(Raw_Data!C600)="","South",TRIM(Raw_Data!C600))</f>
        <v>North</v>
      </c>
      <c r="D600">
        <f>IF(TRIM(Raw_Data!D600)="",30435.80739,Raw_Data!D600)</f>
        <v>57446.51</v>
      </c>
      <c r="E600" t="str">
        <f>TEXT(Raw_Data!E600,"DD-MM-YYYY")</f>
        <v>06-01-2024</v>
      </c>
    </row>
    <row r="601" spans="1:5" x14ac:dyDescent="0.3">
      <c r="A601">
        <v>1599</v>
      </c>
      <c r="B601" t="str">
        <f>IF(TRIM(Raw_Data!B601)="","Unknown",PROPER(TRIM(Raw_Data!B601)))</f>
        <v>Monitor</v>
      </c>
      <c r="C601" t="str">
        <f>IF(TRIM(Raw_Data!C601)="","South",TRIM(Raw_Data!C601))</f>
        <v>East</v>
      </c>
      <c r="D601">
        <f>IF(TRIM(Raw_Data!D601)="",30435.80739,Raw_Data!D601)</f>
        <v>48053.33</v>
      </c>
      <c r="E601" t="str">
        <f>TEXT(Raw_Data!E601,"DD-MM-YYYY")</f>
        <v>06-03-2024</v>
      </c>
    </row>
    <row r="602" spans="1:5" x14ac:dyDescent="0.3">
      <c r="A602">
        <v>1600</v>
      </c>
      <c r="B602" t="str">
        <f>IF(TRIM(Raw_Data!B602)="","Unknown",PROPER(TRIM(Raw_Data!B602)))</f>
        <v>Tablet</v>
      </c>
      <c r="C602" t="str">
        <f>IF(TRIM(Raw_Data!C602)="","South",TRIM(Raw_Data!C602))</f>
        <v>South</v>
      </c>
      <c r="D602">
        <f>IF(TRIM(Raw_Data!D602)="",30435.80739,Raw_Data!D602)</f>
        <v>39200.019999999997</v>
      </c>
      <c r="E602" t="str">
        <f>TEXT(Raw_Data!E602,"DD-MM-YYYY")</f>
        <v>26-05-2024</v>
      </c>
    </row>
    <row r="603" spans="1:5" x14ac:dyDescent="0.3">
      <c r="A603">
        <v>1601</v>
      </c>
      <c r="B603" t="str">
        <f>IF(TRIM(Raw_Data!B603)="","Unknown",PROPER(TRIM(Raw_Data!B603)))</f>
        <v>Mouse</v>
      </c>
      <c r="C603" t="str">
        <f>IF(TRIM(Raw_Data!C603)="","South",TRIM(Raw_Data!C603))</f>
        <v>West</v>
      </c>
      <c r="D603">
        <f>IF(TRIM(Raw_Data!D603)="",30435.80739,Raw_Data!D603)</f>
        <v>25170.7</v>
      </c>
      <c r="E603" t="str">
        <f>TEXT(Raw_Data!E603,"DD-MM-YYYY")</f>
        <v>01-08-2024</v>
      </c>
    </row>
    <row r="604" spans="1:5" x14ac:dyDescent="0.3">
      <c r="A604">
        <v>1602</v>
      </c>
      <c r="B604" t="str">
        <f>IF(TRIM(Raw_Data!B604)="","Unknown",PROPER(TRIM(Raw_Data!B604)))</f>
        <v>Mouse</v>
      </c>
      <c r="C604" t="str">
        <f>IF(TRIM(Raw_Data!C604)="","South",TRIM(Raw_Data!C604))</f>
        <v>North</v>
      </c>
      <c r="D604">
        <f>IF(TRIM(Raw_Data!D604)="",30435.80739,Raw_Data!D604)</f>
        <v>35123.230000000003</v>
      </c>
      <c r="E604" t="str">
        <f>TEXT(Raw_Data!E604,"DD-MM-YYYY")</f>
        <v>28-01-2024</v>
      </c>
    </row>
    <row r="605" spans="1:5" x14ac:dyDescent="0.3">
      <c r="A605">
        <v>1603</v>
      </c>
      <c r="B605" t="str">
        <f>IF(TRIM(Raw_Data!B605)="","Unknown",PROPER(TRIM(Raw_Data!B605)))</f>
        <v>Monitor</v>
      </c>
      <c r="C605" t="str">
        <f>IF(TRIM(Raw_Data!C605)="","South",TRIM(Raw_Data!C605))</f>
        <v>East</v>
      </c>
      <c r="D605">
        <f>IF(TRIM(Raw_Data!D605)="",30435.80739,Raw_Data!D605)</f>
        <v>33366.720000000001</v>
      </c>
      <c r="E605" t="str">
        <f>TEXT(Raw_Data!E605,"DD-MM-YYYY")</f>
        <v>28-11-2024</v>
      </c>
    </row>
    <row r="606" spans="1:5" x14ac:dyDescent="0.3">
      <c r="A606">
        <v>1604</v>
      </c>
      <c r="B606" t="str">
        <f>IF(TRIM(Raw_Data!B606)="","Unknown",PROPER(TRIM(Raw_Data!B606)))</f>
        <v>Tablet</v>
      </c>
      <c r="C606" t="str">
        <f>IF(TRIM(Raw_Data!C606)="","South",TRIM(Raw_Data!C606))</f>
        <v>East</v>
      </c>
      <c r="D606">
        <f>IF(TRIM(Raw_Data!D606)="",30435.80739,Raw_Data!D606)</f>
        <v>1653.63</v>
      </c>
      <c r="E606" t="str">
        <f>TEXT(Raw_Data!E606,"DD-MM-YYYY")</f>
        <v>01-08-2024</v>
      </c>
    </row>
    <row r="607" spans="1:5" x14ac:dyDescent="0.3">
      <c r="A607">
        <v>1605</v>
      </c>
      <c r="B607" t="str">
        <f>IF(TRIM(Raw_Data!B607)="","Unknown",PROPER(TRIM(Raw_Data!B607)))</f>
        <v>Monitor</v>
      </c>
      <c r="C607" t="str">
        <f>IF(TRIM(Raw_Data!C607)="","South",TRIM(Raw_Data!C607))</f>
        <v>West</v>
      </c>
      <c r="D607">
        <f>IF(TRIM(Raw_Data!D607)="",30435.80739,Raw_Data!D607)</f>
        <v>29544.35</v>
      </c>
      <c r="E607" t="str">
        <f>TEXT(Raw_Data!E607,"DD-MM-YYYY")</f>
        <v>17-12-2024</v>
      </c>
    </row>
    <row r="608" spans="1:5" x14ac:dyDescent="0.3">
      <c r="A608">
        <v>1606</v>
      </c>
      <c r="B608" t="str">
        <f>IF(TRIM(Raw_Data!B608)="","Unknown",PROPER(TRIM(Raw_Data!B608)))</f>
        <v>Monitor</v>
      </c>
      <c r="C608" t="str">
        <f>IF(TRIM(Raw_Data!C608)="","South",TRIM(Raw_Data!C608))</f>
        <v>South</v>
      </c>
      <c r="D608">
        <f>IF(TRIM(Raw_Data!D608)="",30435.80739,Raw_Data!D608)</f>
        <v>34646.93</v>
      </c>
      <c r="E608" t="str">
        <f>TEXT(Raw_Data!E608,"DD-MM-YYYY")</f>
        <v>28-03-2024</v>
      </c>
    </row>
    <row r="609" spans="1:5" x14ac:dyDescent="0.3">
      <c r="A609">
        <v>1607</v>
      </c>
      <c r="B609" t="str">
        <f>IF(TRIM(Raw_Data!B609)="","Unknown",PROPER(TRIM(Raw_Data!B609)))</f>
        <v>Laptop</v>
      </c>
      <c r="C609" t="str">
        <f>IF(TRIM(Raw_Data!C609)="","South",TRIM(Raw_Data!C609))</f>
        <v>North</v>
      </c>
      <c r="D609">
        <f>IF(TRIM(Raw_Data!D609)="",30435.80739,Raw_Data!D609)</f>
        <v>42002.23</v>
      </c>
      <c r="E609" t="str">
        <f>TEXT(Raw_Data!E609,"DD-MM-YYYY")</f>
        <v>18-04-2024</v>
      </c>
    </row>
    <row r="610" spans="1:5" x14ac:dyDescent="0.3">
      <c r="A610">
        <v>1608</v>
      </c>
      <c r="B610" t="str">
        <f>IF(TRIM(Raw_Data!B610)="","Unknown",PROPER(TRIM(Raw_Data!B610)))</f>
        <v>Monitor</v>
      </c>
      <c r="C610" t="str">
        <f>IF(TRIM(Raw_Data!C610)="","South",TRIM(Raw_Data!C610))</f>
        <v>South</v>
      </c>
      <c r="D610">
        <f>IF(TRIM(Raw_Data!D610)="",30435.80739,Raw_Data!D610)</f>
        <v>54805.62</v>
      </c>
      <c r="E610" t="str">
        <f>TEXT(Raw_Data!E610,"DD-MM-YYYY")</f>
        <v>01-04-2024</v>
      </c>
    </row>
    <row r="611" spans="1:5" x14ac:dyDescent="0.3">
      <c r="A611">
        <v>1609</v>
      </c>
      <c r="B611" t="str">
        <f>IF(TRIM(Raw_Data!B611)="","Unknown",PROPER(TRIM(Raw_Data!B611)))</f>
        <v>Unknown</v>
      </c>
      <c r="C611" t="str">
        <f>IF(TRIM(Raw_Data!C611)="","South",TRIM(Raw_Data!C611))</f>
        <v>West</v>
      </c>
      <c r="D611">
        <f>IF(TRIM(Raw_Data!D611)="",30435.80739,Raw_Data!D611)</f>
        <v>44341.89</v>
      </c>
      <c r="E611" t="str">
        <f>TEXT(Raw_Data!E611,"DD-MM-YYYY")</f>
        <v>15-03-2024</v>
      </c>
    </row>
    <row r="612" spans="1:5" x14ac:dyDescent="0.3">
      <c r="A612">
        <v>1610</v>
      </c>
      <c r="B612" t="str">
        <f>IF(TRIM(Raw_Data!B612)="","Unknown",PROPER(TRIM(Raw_Data!B612)))</f>
        <v>Tablet</v>
      </c>
      <c r="C612" t="str">
        <f>IF(TRIM(Raw_Data!C612)="","South",TRIM(Raw_Data!C612))</f>
        <v>East</v>
      </c>
      <c r="D612">
        <f>IF(TRIM(Raw_Data!D612)="",30435.80739,Raw_Data!D612)</f>
        <v>33481.370000000003</v>
      </c>
      <c r="E612" t="str">
        <f>TEXT(Raw_Data!E612,"DD-MM-YYYY")</f>
        <v>09-12-2024</v>
      </c>
    </row>
    <row r="613" spans="1:5" x14ac:dyDescent="0.3">
      <c r="A613">
        <v>1611</v>
      </c>
      <c r="B613" t="str">
        <f>IF(TRIM(Raw_Data!B613)="","Unknown",PROPER(TRIM(Raw_Data!B613)))</f>
        <v>Unknown</v>
      </c>
      <c r="C613" t="str">
        <f>IF(TRIM(Raw_Data!C613)="","South",TRIM(Raw_Data!C613))</f>
        <v>West</v>
      </c>
      <c r="D613">
        <f>IF(TRIM(Raw_Data!D613)="",30435.80739,Raw_Data!D613)</f>
        <v>53548.85</v>
      </c>
      <c r="E613" t="str">
        <f>TEXT(Raw_Data!E613,"DD-MM-YYYY")</f>
        <v>13-08-2024</v>
      </c>
    </row>
    <row r="614" spans="1:5" x14ac:dyDescent="0.3">
      <c r="A614">
        <v>1612</v>
      </c>
      <c r="B614" t="str">
        <f>IF(TRIM(Raw_Data!B614)="","Unknown",PROPER(TRIM(Raw_Data!B614)))</f>
        <v>Mouse</v>
      </c>
      <c r="C614" t="str">
        <f>IF(TRIM(Raw_Data!C614)="","South",TRIM(Raw_Data!C614))</f>
        <v>East</v>
      </c>
      <c r="D614">
        <f>IF(TRIM(Raw_Data!D614)="",30435.80739,Raw_Data!D614)</f>
        <v>10712.61</v>
      </c>
      <c r="E614" t="str">
        <f>TEXT(Raw_Data!E614,"DD-MM-YYYY")</f>
        <v>01-12-2024</v>
      </c>
    </row>
    <row r="615" spans="1:5" x14ac:dyDescent="0.3">
      <c r="A615">
        <v>1613</v>
      </c>
      <c r="B615" t="str">
        <f>IF(TRIM(Raw_Data!B615)="","Unknown",PROPER(TRIM(Raw_Data!B615)))</f>
        <v>Tablet</v>
      </c>
      <c r="C615" t="str">
        <f>IF(TRIM(Raw_Data!C615)="","South",TRIM(Raw_Data!C615))</f>
        <v>West</v>
      </c>
      <c r="D615">
        <f>IF(TRIM(Raw_Data!D615)="",30435.80739,Raw_Data!D615)</f>
        <v>26163.49</v>
      </c>
      <c r="E615" t="str">
        <f>TEXT(Raw_Data!E615,"DD-MM-YYYY")</f>
        <v>17-12-2024</v>
      </c>
    </row>
    <row r="616" spans="1:5" x14ac:dyDescent="0.3">
      <c r="A616">
        <v>1614</v>
      </c>
      <c r="B616" t="str">
        <f>IF(TRIM(Raw_Data!B616)="","Unknown",PROPER(TRIM(Raw_Data!B616)))</f>
        <v>Laptop</v>
      </c>
      <c r="C616" t="str">
        <f>IF(TRIM(Raw_Data!C616)="","South",TRIM(Raw_Data!C616))</f>
        <v>South</v>
      </c>
      <c r="D616">
        <f>IF(TRIM(Raw_Data!D616)="",30435.80739,Raw_Data!D616)</f>
        <v>1861.93</v>
      </c>
      <c r="E616" t="str">
        <f>TEXT(Raw_Data!E616,"DD-MM-YYYY")</f>
        <v>24-11-2024</v>
      </c>
    </row>
    <row r="617" spans="1:5" x14ac:dyDescent="0.3">
      <c r="A617">
        <v>1615</v>
      </c>
      <c r="B617" t="str">
        <f>IF(TRIM(Raw_Data!B617)="","Unknown",PROPER(TRIM(Raw_Data!B617)))</f>
        <v>Mouse</v>
      </c>
      <c r="C617" t="str">
        <f>IF(TRIM(Raw_Data!C617)="","South",TRIM(Raw_Data!C617))</f>
        <v>South</v>
      </c>
      <c r="D617">
        <f>IF(TRIM(Raw_Data!D617)="",30435.80739,Raw_Data!D617)</f>
        <v>20634.07</v>
      </c>
      <c r="E617" t="str">
        <f>TEXT(Raw_Data!E617,"DD-MM-YYYY")</f>
        <v>03-11-2024</v>
      </c>
    </row>
    <row r="618" spans="1:5" x14ac:dyDescent="0.3">
      <c r="A618">
        <v>1616</v>
      </c>
      <c r="B618" t="str">
        <f>IF(TRIM(Raw_Data!B618)="","Unknown",PROPER(TRIM(Raw_Data!B618)))</f>
        <v>Keyboard</v>
      </c>
      <c r="C618" t="str">
        <f>IF(TRIM(Raw_Data!C618)="","South",TRIM(Raw_Data!C618))</f>
        <v>North</v>
      </c>
      <c r="D618">
        <f>IF(TRIM(Raw_Data!D618)="",30435.80739,Raw_Data!D618)</f>
        <v>30435.807390000002</v>
      </c>
      <c r="E618" t="str">
        <f>TEXT(Raw_Data!E618,"DD-MM-YYYY")</f>
        <v>18-04-2024</v>
      </c>
    </row>
    <row r="619" spans="1:5" x14ac:dyDescent="0.3">
      <c r="A619">
        <v>1617</v>
      </c>
      <c r="B619" t="str">
        <f>IF(TRIM(Raw_Data!B619)="","Unknown",PROPER(TRIM(Raw_Data!B619)))</f>
        <v>Unknown</v>
      </c>
      <c r="C619" t="str">
        <f>IF(TRIM(Raw_Data!C619)="","South",TRIM(Raw_Data!C619))</f>
        <v>South</v>
      </c>
      <c r="D619">
        <f>IF(TRIM(Raw_Data!D619)="",30435.80739,Raw_Data!D619)</f>
        <v>16115.3</v>
      </c>
      <c r="E619" t="str">
        <f>TEXT(Raw_Data!E619,"DD-MM-YYYY")</f>
        <v>08-04-2024</v>
      </c>
    </row>
    <row r="620" spans="1:5" x14ac:dyDescent="0.3">
      <c r="A620">
        <v>1618</v>
      </c>
      <c r="B620" t="str">
        <f>IF(TRIM(Raw_Data!B620)="","Unknown",PROPER(TRIM(Raw_Data!B620)))</f>
        <v>Laptop</v>
      </c>
      <c r="C620" t="str">
        <f>IF(TRIM(Raw_Data!C620)="","South",TRIM(Raw_Data!C620))</f>
        <v>North</v>
      </c>
      <c r="D620">
        <f>IF(TRIM(Raw_Data!D620)="",30435.80739,Raw_Data!D620)</f>
        <v>3377.05</v>
      </c>
      <c r="E620" t="str">
        <f>TEXT(Raw_Data!E620,"DD-MM-YYYY")</f>
        <v>17-07-2024</v>
      </c>
    </row>
    <row r="621" spans="1:5" x14ac:dyDescent="0.3">
      <c r="A621">
        <v>1619</v>
      </c>
      <c r="B621" t="str">
        <f>IF(TRIM(Raw_Data!B621)="","Unknown",PROPER(TRIM(Raw_Data!B621)))</f>
        <v>Keyboard</v>
      </c>
      <c r="C621" t="str">
        <f>IF(TRIM(Raw_Data!C621)="","South",TRIM(Raw_Data!C621))</f>
        <v>East</v>
      </c>
      <c r="D621">
        <f>IF(TRIM(Raw_Data!D621)="",30435.80739,Raw_Data!D621)</f>
        <v>18899.75</v>
      </c>
      <c r="E621" t="str">
        <f>TEXT(Raw_Data!E621,"DD-MM-YYYY")</f>
        <v>27-06-2024</v>
      </c>
    </row>
    <row r="622" spans="1:5" x14ac:dyDescent="0.3">
      <c r="A622">
        <v>1620</v>
      </c>
      <c r="B622" t="str">
        <f>IF(TRIM(Raw_Data!B622)="","Unknown",PROPER(TRIM(Raw_Data!B622)))</f>
        <v>Tablet</v>
      </c>
      <c r="C622" t="str">
        <f>IF(TRIM(Raw_Data!C622)="","South",TRIM(Raw_Data!C622))</f>
        <v>North</v>
      </c>
      <c r="D622">
        <f>IF(TRIM(Raw_Data!D622)="",30435.80739,Raw_Data!D622)</f>
        <v>57947.37</v>
      </c>
      <c r="E622" t="str">
        <f>TEXT(Raw_Data!E622,"DD-MM-YYYY")</f>
        <v>01-05-2024</v>
      </c>
    </row>
    <row r="623" spans="1:5" x14ac:dyDescent="0.3">
      <c r="A623">
        <v>1621</v>
      </c>
      <c r="B623" t="str">
        <f>IF(TRIM(Raw_Data!B623)="","Unknown",PROPER(TRIM(Raw_Data!B623)))</f>
        <v>Keyboard</v>
      </c>
      <c r="C623" t="str">
        <f>IF(TRIM(Raw_Data!C623)="","South",TRIM(Raw_Data!C623))</f>
        <v>South</v>
      </c>
      <c r="D623">
        <f>IF(TRIM(Raw_Data!D623)="",30435.80739,Raw_Data!D623)</f>
        <v>44967.67</v>
      </c>
      <c r="E623" t="str">
        <f>TEXT(Raw_Data!E623,"DD-MM-YYYY")</f>
        <v>01-08-2024</v>
      </c>
    </row>
    <row r="624" spans="1:5" x14ac:dyDescent="0.3">
      <c r="A624">
        <v>1622</v>
      </c>
      <c r="B624" t="str">
        <f>IF(TRIM(Raw_Data!B624)="","Unknown",PROPER(TRIM(Raw_Data!B624)))</f>
        <v>Tablet</v>
      </c>
      <c r="C624" t="str">
        <f>IF(TRIM(Raw_Data!C624)="","South",TRIM(Raw_Data!C624))</f>
        <v>West</v>
      </c>
      <c r="D624">
        <f>IF(TRIM(Raw_Data!D624)="",30435.80739,Raw_Data!D624)</f>
        <v>45325.46</v>
      </c>
      <c r="E624" t="str">
        <f>TEXT(Raw_Data!E624,"DD-MM-YYYY")</f>
        <v>04-02-2024</v>
      </c>
    </row>
    <row r="625" spans="1:5" x14ac:dyDescent="0.3">
      <c r="A625">
        <v>1623</v>
      </c>
      <c r="B625" t="str">
        <f>IF(TRIM(Raw_Data!B625)="","Unknown",PROPER(TRIM(Raw_Data!B625)))</f>
        <v>Mouse</v>
      </c>
      <c r="C625" t="str">
        <f>IF(TRIM(Raw_Data!C625)="","South",TRIM(Raw_Data!C625))</f>
        <v>North</v>
      </c>
      <c r="D625">
        <f>IF(TRIM(Raw_Data!D625)="",30435.80739,Raw_Data!D625)</f>
        <v>29684.25</v>
      </c>
      <c r="E625" t="str">
        <f>TEXT(Raw_Data!E625,"DD-MM-YYYY")</f>
        <v>19-08-2024</v>
      </c>
    </row>
    <row r="626" spans="1:5" x14ac:dyDescent="0.3">
      <c r="A626">
        <v>1624</v>
      </c>
      <c r="B626" t="str">
        <f>IF(TRIM(Raw_Data!B626)="","Unknown",PROPER(TRIM(Raw_Data!B626)))</f>
        <v>Tablet</v>
      </c>
      <c r="C626" t="str">
        <f>IF(TRIM(Raw_Data!C626)="","South",TRIM(Raw_Data!C626))</f>
        <v>West</v>
      </c>
      <c r="D626">
        <f>IF(TRIM(Raw_Data!D626)="",30435.80739,Raw_Data!D626)</f>
        <v>52407.6</v>
      </c>
      <c r="E626" t="str">
        <f>TEXT(Raw_Data!E626,"DD-MM-YYYY")</f>
        <v>10-01-2024</v>
      </c>
    </row>
    <row r="627" spans="1:5" x14ac:dyDescent="0.3">
      <c r="A627">
        <v>1625</v>
      </c>
      <c r="B627" t="str">
        <f>IF(TRIM(Raw_Data!B627)="","Unknown",PROPER(TRIM(Raw_Data!B627)))</f>
        <v>Tablet</v>
      </c>
      <c r="C627" t="str">
        <f>IF(TRIM(Raw_Data!C627)="","South",TRIM(Raw_Data!C627))</f>
        <v>West</v>
      </c>
      <c r="D627">
        <f>IF(TRIM(Raw_Data!D627)="",30435.80739,Raw_Data!D627)</f>
        <v>30534.18</v>
      </c>
      <c r="E627" t="str">
        <f>TEXT(Raw_Data!E627,"DD-MM-YYYY")</f>
        <v>31-05-2024</v>
      </c>
    </row>
    <row r="628" spans="1:5" x14ac:dyDescent="0.3">
      <c r="A628">
        <v>1626</v>
      </c>
      <c r="B628" t="str">
        <f>IF(TRIM(Raw_Data!B628)="","Unknown",PROPER(TRIM(Raw_Data!B628)))</f>
        <v>Monitor</v>
      </c>
      <c r="C628" t="str">
        <f>IF(TRIM(Raw_Data!C628)="","South",TRIM(Raw_Data!C628))</f>
        <v>West</v>
      </c>
      <c r="D628">
        <f>IF(TRIM(Raw_Data!D628)="",30435.80739,Raw_Data!D628)</f>
        <v>1303.24</v>
      </c>
      <c r="E628" t="str">
        <f>TEXT(Raw_Data!E628,"DD-MM-YYYY")</f>
        <v>30-03-2024</v>
      </c>
    </row>
    <row r="629" spans="1:5" x14ac:dyDescent="0.3">
      <c r="A629">
        <v>1627</v>
      </c>
      <c r="B629" t="str">
        <f>IF(TRIM(Raw_Data!B629)="","Unknown",PROPER(TRIM(Raw_Data!B629)))</f>
        <v>Laptop</v>
      </c>
      <c r="C629" t="str">
        <f>IF(TRIM(Raw_Data!C629)="","South",TRIM(Raw_Data!C629))</f>
        <v>East</v>
      </c>
      <c r="D629">
        <f>IF(TRIM(Raw_Data!D629)="",30435.80739,Raw_Data!D629)</f>
        <v>18077.009999999998</v>
      </c>
      <c r="E629" t="str">
        <f>TEXT(Raw_Data!E629,"DD-MM-YYYY")</f>
        <v>01-08-2024</v>
      </c>
    </row>
    <row r="630" spans="1:5" x14ac:dyDescent="0.3">
      <c r="A630">
        <v>1628</v>
      </c>
      <c r="B630" t="str">
        <f>IF(TRIM(Raw_Data!B630)="","Unknown",PROPER(TRIM(Raw_Data!B630)))</f>
        <v>Mouse</v>
      </c>
      <c r="C630" t="str">
        <f>IF(TRIM(Raw_Data!C630)="","South",TRIM(Raw_Data!C630))</f>
        <v>South</v>
      </c>
      <c r="D630">
        <f>IF(TRIM(Raw_Data!D630)="",30435.80739,Raw_Data!D630)</f>
        <v>52509.55</v>
      </c>
      <c r="E630" t="str">
        <f>TEXT(Raw_Data!E630,"DD-MM-YYYY")</f>
        <v>02-09-2024</v>
      </c>
    </row>
    <row r="631" spans="1:5" x14ac:dyDescent="0.3">
      <c r="A631">
        <v>1629</v>
      </c>
      <c r="B631" t="str">
        <f>IF(TRIM(Raw_Data!B631)="","Unknown",PROPER(TRIM(Raw_Data!B631)))</f>
        <v>Laptop</v>
      </c>
      <c r="C631" t="str">
        <f>IF(TRIM(Raw_Data!C631)="","South",TRIM(Raw_Data!C631))</f>
        <v>North</v>
      </c>
      <c r="D631">
        <f>IF(TRIM(Raw_Data!D631)="",30435.80739,Raw_Data!D631)</f>
        <v>49412.58</v>
      </c>
      <c r="E631" t="str">
        <f>TEXT(Raw_Data!E631,"DD-MM-YYYY")</f>
        <v>24-10-2024</v>
      </c>
    </row>
    <row r="632" spans="1:5" x14ac:dyDescent="0.3">
      <c r="A632">
        <v>1630</v>
      </c>
      <c r="B632" t="str">
        <f>IF(TRIM(Raw_Data!B632)="","Unknown",PROPER(TRIM(Raw_Data!B632)))</f>
        <v>Keyboard</v>
      </c>
      <c r="C632" t="str">
        <f>IF(TRIM(Raw_Data!C632)="","South",TRIM(Raw_Data!C632))</f>
        <v>North</v>
      </c>
      <c r="D632">
        <f>IF(TRIM(Raw_Data!D632)="",30435.80739,Raw_Data!D632)</f>
        <v>49893.83</v>
      </c>
      <c r="E632" t="str">
        <f>TEXT(Raw_Data!E632,"DD-MM-YYYY")</f>
        <v>11-08-2024</v>
      </c>
    </row>
    <row r="633" spans="1:5" x14ac:dyDescent="0.3">
      <c r="A633">
        <v>1631</v>
      </c>
      <c r="B633" t="str">
        <f>IF(TRIM(Raw_Data!B633)="","Unknown",PROPER(TRIM(Raw_Data!B633)))</f>
        <v>Laptop</v>
      </c>
      <c r="C633" t="str">
        <f>IF(TRIM(Raw_Data!C633)="","South",TRIM(Raw_Data!C633))</f>
        <v>North</v>
      </c>
      <c r="D633">
        <f>IF(TRIM(Raw_Data!D633)="",30435.80739,Raw_Data!D633)</f>
        <v>9377.66</v>
      </c>
      <c r="E633" t="str">
        <f>TEXT(Raw_Data!E633,"DD-MM-YYYY")</f>
        <v>24-01-2024</v>
      </c>
    </row>
    <row r="634" spans="1:5" x14ac:dyDescent="0.3">
      <c r="A634">
        <v>1632</v>
      </c>
      <c r="B634" t="str">
        <f>IF(TRIM(Raw_Data!B634)="","Unknown",PROPER(TRIM(Raw_Data!B634)))</f>
        <v>Tablet</v>
      </c>
      <c r="C634" t="str">
        <f>IF(TRIM(Raw_Data!C634)="","South",TRIM(Raw_Data!C634))</f>
        <v>East</v>
      </c>
      <c r="D634">
        <f>IF(TRIM(Raw_Data!D634)="",30435.80739,Raw_Data!D634)</f>
        <v>21637.97</v>
      </c>
      <c r="E634" t="str">
        <f>TEXT(Raw_Data!E634,"DD-MM-YYYY")</f>
        <v>19-02-2024</v>
      </c>
    </row>
    <row r="635" spans="1:5" x14ac:dyDescent="0.3">
      <c r="A635">
        <v>1633</v>
      </c>
      <c r="B635" t="str">
        <f>IF(TRIM(Raw_Data!B635)="","Unknown",PROPER(TRIM(Raw_Data!B635)))</f>
        <v>Tablet</v>
      </c>
      <c r="C635" t="str">
        <f>IF(TRIM(Raw_Data!C635)="","South",TRIM(Raw_Data!C635))</f>
        <v>South</v>
      </c>
      <c r="D635">
        <f>IF(TRIM(Raw_Data!D635)="",30435.80739,Raw_Data!D635)</f>
        <v>24194.19</v>
      </c>
      <c r="E635" t="str">
        <f>TEXT(Raw_Data!E635,"DD-MM-YYYY")</f>
        <v>12-09-2024</v>
      </c>
    </row>
    <row r="636" spans="1:5" x14ac:dyDescent="0.3">
      <c r="A636">
        <v>1634</v>
      </c>
      <c r="B636" t="str">
        <f>IF(TRIM(Raw_Data!B636)="","Unknown",PROPER(TRIM(Raw_Data!B636)))</f>
        <v>Mouse</v>
      </c>
      <c r="C636" t="str">
        <f>IF(TRIM(Raw_Data!C636)="","South",TRIM(Raw_Data!C636))</f>
        <v>West</v>
      </c>
      <c r="D636">
        <f>IF(TRIM(Raw_Data!D636)="",30435.80739,Raw_Data!D636)</f>
        <v>21301.41</v>
      </c>
      <c r="E636" t="str">
        <f>TEXT(Raw_Data!E636,"DD-MM-YYYY")</f>
        <v>07-04-2024</v>
      </c>
    </row>
    <row r="637" spans="1:5" x14ac:dyDescent="0.3">
      <c r="A637">
        <v>1635</v>
      </c>
      <c r="B637" t="str">
        <f>IF(TRIM(Raw_Data!B637)="","Unknown",PROPER(TRIM(Raw_Data!B637)))</f>
        <v>Unknown</v>
      </c>
      <c r="C637" t="str">
        <f>IF(TRIM(Raw_Data!C637)="","South",TRIM(Raw_Data!C637))</f>
        <v>South</v>
      </c>
      <c r="D637">
        <f>IF(TRIM(Raw_Data!D637)="",30435.80739,Raw_Data!D637)</f>
        <v>4724.66</v>
      </c>
      <c r="E637" t="str">
        <f>TEXT(Raw_Data!E637,"DD-MM-YYYY")</f>
        <v>12-12-2024</v>
      </c>
    </row>
    <row r="638" spans="1:5" x14ac:dyDescent="0.3">
      <c r="A638">
        <v>1636</v>
      </c>
      <c r="B638" t="str">
        <f>IF(TRIM(Raw_Data!B638)="","Unknown",PROPER(TRIM(Raw_Data!B638)))</f>
        <v>Mouse</v>
      </c>
      <c r="C638" t="str">
        <f>IF(TRIM(Raw_Data!C638)="","South",TRIM(Raw_Data!C638))</f>
        <v>East</v>
      </c>
      <c r="D638">
        <f>IF(TRIM(Raw_Data!D638)="",30435.80739,Raw_Data!D638)</f>
        <v>25909.34</v>
      </c>
      <c r="E638" t="str">
        <f>TEXT(Raw_Data!E638,"DD-MM-YYYY")</f>
        <v>01-09-2024</v>
      </c>
    </row>
    <row r="639" spans="1:5" x14ac:dyDescent="0.3">
      <c r="A639">
        <v>1637</v>
      </c>
      <c r="B639" t="str">
        <f>IF(TRIM(Raw_Data!B639)="","Unknown",PROPER(TRIM(Raw_Data!B639)))</f>
        <v>Mouse</v>
      </c>
      <c r="C639" t="str">
        <f>IF(TRIM(Raw_Data!C639)="","South",TRIM(Raw_Data!C639))</f>
        <v>North</v>
      </c>
      <c r="D639">
        <f>IF(TRIM(Raw_Data!D639)="",30435.80739,Raw_Data!D639)</f>
        <v>3717.72</v>
      </c>
      <c r="E639" t="str">
        <f>TEXT(Raw_Data!E639,"DD-MM-YYYY")</f>
        <v>11-05-2024</v>
      </c>
    </row>
    <row r="640" spans="1:5" x14ac:dyDescent="0.3">
      <c r="A640">
        <v>1638</v>
      </c>
      <c r="B640" t="str">
        <f>IF(TRIM(Raw_Data!B640)="","Unknown",PROPER(TRIM(Raw_Data!B640)))</f>
        <v>Mouse</v>
      </c>
      <c r="C640" t="str">
        <f>IF(TRIM(Raw_Data!C640)="","South",TRIM(Raw_Data!C640))</f>
        <v>West</v>
      </c>
      <c r="D640">
        <f>IF(TRIM(Raw_Data!D640)="",30435.80739,Raw_Data!D640)</f>
        <v>21355.99</v>
      </c>
      <c r="E640" t="str">
        <f>TEXT(Raw_Data!E640,"DD-MM-YYYY")</f>
        <v>14-04-2024</v>
      </c>
    </row>
    <row r="641" spans="1:5" x14ac:dyDescent="0.3">
      <c r="A641">
        <v>1639</v>
      </c>
      <c r="B641" t="str">
        <f>IF(TRIM(Raw_Data!B641)="","Unknown",PROPER(TRIM(Raw_Data!B641)))</f>
        <v>Mouse</v>
      </c>
      <c r="C641" t="str">
        <f>IF(TRIM(Raw_Data!C641)="","South",TRIM(Raw_Data!C641))</f>
        <v>East</v>
      </c>
      <c r="D641">
        <f>IF(TRIM(Raw_Data!D641)="",30435.80739,Raw_Data!D641)</f>
        <v>17602.189999999999</v>
      </c>
      <c r="E641" t="str">
        <f>TEXT(Raw_Data!E641,"DD-MM-YYYY")</f>
        <v>10-06-2024</v>
      </c>
    </row>
    <row r="642" spans="1:5" x14ac:dyDescent="0.3">
      <c r="A642">
        <v>1640</v>
      </c>
      <c r="B642" t="str">
        <f>IF(TRIM(Raw_Data!B642)="","Unknown",PROPER(TRIM(Raw_Data!B642)))</f>
        <v>Keyboard</v>
      </c>
      <c r="C642" t="str">
        <f>IF(TRIM(Raw_Data!C642)="","South",TRIM(Raw_Data!C642))</f>
        <v>West</v>
      </c>
      <c r="D642">
        <f>IF(TRIM(Raw_Data!D642)="",30435.80739,Raw_Data!D642)</f>
        <v>26401.61</v>
      </c>
      <c r="E642" t="str">
        <f>TEXT(Raw_Data!E642,"DD-MM-YYYY")</f>
        <v>03-08-2024</v>
      </c>
    </row>
    <row r="643" spans="1:5" x14ac:dyDescent="0.3">
      <c r="A643">
        <v>1641</v>
      </c>
      <c r="B643" t="str">
        <f>IF(TRIM(Raw_Data!B643)="","Unknown",PROPER(TRIM(Raw_Data!B643)))</f>
        <v>Laptop</v>
      </c>
      <c r="C643" t="str">
        <f>IF(TRIM(Raw_Data!C643)="","South",TRIM(Raw_Data!C643))</f>
        <v>West</v>
      </c>
      <c r="D643">
        <f>IF(TRIM(Raw_Data!D643)="",30435.80739,Raw_Data!D643)</f>
        <v>45213.36</v>
      </c>
      <c r="E643" t="str">
        <f>TEXT(Raw_Data!E643,"DD-MM-YYYY")</f>
        <v>06-07-2024</v>
      </c>
    </row>
    <row r="644" spans="1:5" x14ac:dyDescent="0.3">
      <c r="A644">
        <v>1642</v>
      </c>
      <c r="B644" t="str">
        <f>IF(TRIM(Raw_Data!B644)="","Unknown",PROPER(TRIM(Raw_Data!B644)))</f>
        <v>Monitor</v>
      </c>
      <c r="C644" t="str">
        <f>IF(TRIM(Raw_Data!C644)="","South",TRIM(Raw_Data!C644))</f>
        <v>South</v>
      </c>
      <c r="D644">
        <f>IF(TRIM(Raw_Data!D644)="",30435.80739,Raw_Data!D644)</f>
        <v>48341.71</v>
      </c>
      <c r="E644" t="str">
        <f>TEXT(Raw_Data!E644,"DD-MM-YYYY")</f>
        <v>22-04-2024</v>
      </c>
    </row>
    <row r="645" spans="1:5" x14ac:dyDescent="0.3">
      <c r="A645">
        <v>1643</v>
      </c>
      <c r="B645" t="str">
        <f>IF(TRIM(Raw_Data!B645)="","Unknown",PROPER(TRIM(Raw_Data!B645)))</f>
        <v>Mouse</v>
      </c>
      <c r="C645" t="str">
        <f>IF(TRIM(Raw_Data!C645)="","South",TRIM(Raw_Data!C645))</f>
        <v>West</v>
      </c>
      <c r="D645">
        <f>IF(TRIM(Raw_Data!D645)="",30435.80739,Raw_Data!D645)</f>
        <v>30435.807390000002</v>
      </c>
      <c r="E645" t="str">
        <f>TEXT(Raw_Data!E645,"DD-MM-YYYY")</f>
        <v>06-09-2024</v>
      </c>
    </row>
    <row r="646" spans="1:5" x14ac:dyDescent="0.3">
      <c r="A646">
        <v>1644</v>
      </c>
      <c r="B646" t="str">
        <f>IF(TRIM(Raw_Data!B646)="","Unknown",PROPER(TRIM(Raw_Data!B646)))</f>
        <v>Tablet</v>
      </c>
      <c r="C646" t="str">
        <f>IF(TRIM(Raw_Data!C646)="","South",TRIM(Raw_Data!C646))</f>
        <v>East</v>
      </c>
      <c r="D646">
        <f>IF(TRIM(Raw_Data!D646)="",30435.80739,Raw_Data!D646)</f>
        <v>47167.51</v>
      </c>
      <c r="E646" t="str">
        <f>TEXT(Raw_Data!E646,"DD-MM-YYYY")</f>
        <v>08-03-2024</v>
      </c>
    </row>
    <row r="647" spans="1:5" x14ac:dyDescent="0.3">
      <c r="A647">
        <v>1645</v>
      </c>
      <c r="B647" t="str">
        <f>IF(TRIM(Raw_Data!B647)="","Unknown",PROPER(TRIM(Raw_Data!B647)))</f>
        <v>Mouse</v>
      </c>
      <c r="C647" t="str">
        <f>IF(TRIM(Raw_Data!C647)="","South",TRIM(Raw_Data!C647))</f>
        <v>North</v>
      </c>
      <c r="D647">
        <f>IF(TRIM(Raw_Data!D647)="",30435.80739,Raw_Data!D647)</f>
        <v>30435.807390000002</v>
      </c>
      <c r="E647" t="str">
        <f>TEXT(Raw_Data!E647,"DD-MM-YYYY")</f>
        <v>27-11-2024</v>
      </c>
    </row>
    <row r="648" spans="1:5" x14ac:dyDescent="0.3">
      <c r="A648">
        <v>1345</v>
      </c>
      <c r="B648" t="str">
        <f>IF(TRIM(Raw_Data!B648)="","Unknown",PROPER(TRIM(Raw_Data!B648)))</f>
        <v>Mouse</v>
      </c>
      <c r="C648" t="str">
        <f>IF(TRIM(Raw_Data!C648)="","South",TRIM(Raw_Data!C648))</f>
        <v>North</v>
      </c>
      <c r="D648">
        <f>IF(TRIM(Raw_Data!D648)="",30435.80739,Raw_Data!D648)</f>
        <v>57132.41</v>
      </c>
      <c r="E648" t="str">
        <f>TEXT(Raw_Data!E648,"DD-MM-YYYY")</f>
        <v>24-01-2024</v>
      </c>
    </row>
    <row r="649" spans="1:5" x14ac:dyDescent="0.3">
      <c r="A649">
        <v>1647</v>
      </c>
      <c r="B649" t="str">
        <f>IF(TRIM(Raw_Data!B649)="","Unknown",PROPER(TRIM(Raw_Data!B649)))</f>
        <v>Mouse</v>
      </c>
      <c r="C649" t="str">
        <f>IF(TRIM(Raw_Data!C649)="","South",TRIM(Raw_Data!C649))</f>
        <v>West</v>
      </c>
      <c r="D649">
        <f>IF(TRIM(Raw_Data!D649)="",30435.80739,Raw_Data!D649)</f>
        <v>26880.2</v>
      </c>
      <c r="E649" t="str">
        <f>TEXT(Raw_Data!E649,"DD-MM-YYYY")</f>
        <v>30-07-2024</v>
      </c>
    </row>
    <row r="650" spans="1:5" x14ac:dyDescent="0.3">
      <c r="A650">
        <v>1648</v>
      </c>
      <c r="B650" t="str">
        <f>IF(TRIM(Raw_Data!B650)="","Unknown",PROPER(TRIM(Raw_Data!B650)))</f>
        <v>Keyboard</v>
      </c>
      <c r="C650" t="str">
        <f>IF(TRIM(Raw_Data!C650)="","South",TRIM(Raw_Data!C650))</f>
        <v>East</v>
      </c>
      <c r="D650">
        <f>IF(TRIM(Raw_Data!D650)="",30435.80739,Raw_Data!D650)</f>
        <v>59633.25</v>
      </c>
      <c r="E650" t="str">
        <f>TEXT(Raw_Data!E650,"DD-MM-YYYY")</f>
        <v>20-10-2024</v>
      </c>
    </row>
    <row r="651" spans="1:5" x14ac:dyDescent="0.3">
      <c r="A651">
        <v>1649</v>
      </c>
      <c r="B651" t="str">
        <f>IF(TRIM(Raw_Data!B651)="","Unknown",PROPER(TRIM(Raw_Data!B651)))</f>
        <v>Keyboard</v>
      </c>
      <c r="C651" t="str">
        <f>IF(TRIM(Raw_Data!C651)="","South",TRIM(Raw_Data!C651))</f>
        <v>South</v>
      </c>
      <c r="D651">
        <f>IF(TRIM(Raw_Data!D651)="",30435.80739,Raw_Data!D651)</f>
        <v>5161.6000000000004</v>
      </c>
      <c r="E651" t="str">
        <f>TEXT(Raw_Data!E651,"DD-MM-YYYY")</f>
        <v>17-10-2024</v>
      </c>
    </row>
    <row r="652" spans="1:5" x14ac:dyDescent="0.3">
      <c r="A652">
        <v>1650</v>
      </c>
      <c r="B652" t="str">
        <f>IF(TRIM(Raw_Data!B652)="","Unknown",PROPER(TRIM(Raw_Data!B652)))</f>
        <v>Laptop</v>
      </c>
      <c r="C652" t="str">
        <f>IF(TRIM(Raw_Data!C652)="","South",TRIM(Raw_Data!C652))</f>
        <v>South</v>
      </c>
      <c r="D652">
        <f>IF(TRIM(Raw_Data!D652)="",30435.80739,Raw_Data!D652)</f>
        <v>44534.94</v>
      </c>
      <c r="E652" t="str">
        <f>TEXT(Raw_Data!E652,"DD-MM-YYYY")</f>
        <v>16-01-2024</v>
      </c>
    </row>
    <row r="653" spans="1:5" x14ac:dyDescent="0.3">
      <c r="A653">
        <v>1651</v>
      </c>
      <c r="B653" t="str">
        <f>IF(TRIM(Raw_Data!B653)="","Unknown",PROPER(TRIM(Raw_Data!B653)))</f>
        <v>Unknown</v>
      </c>
      <c r="C653" t="str">
        <f>IF(TRIM(Raw_Data!C653)="","South",TRIM(Raw_Data!C653))</f>
        <v>West</v>
      </c>
      <c r="D653">
        <f>IF(TRIM(Raw_Data!D653)="",30435.80739,Raw_Data!D653)</f>
        <v>56152.94</v>
      </c>
      <c r="E653" t="str">
        <f>TEXT(Raw_Data!E653,"DD-MM-YYYY")</f>
        <v>19-06-2024</v>
      </c>
    </row>
    <row r="654" spans="1:5" x14ac:dyDescent="0.3">
      <c r="A654">
        <v>1652</v>
      </c>
      <c r="B654" t="str">
        <f>IF(TRIM(Raw_Data!B654)="","Unknown",PROPER(TRIM(Raw_Data!B654)))</f>
        <v>Keyboard</v>
      </c>
      <c r="C654" t="str">
        <f>IF(TRIM(Raw_Data!C654)="","South",TRIM(Raw_Data!C654))</f>
        <v>North</v>
      </c>
      <c r="D654">
        <f>IF(TRIM(Raw_Data!D654)="",30435.80739,Raw_Data!D654)</f>
        <v>52826.54</v>
      </c>
      <c r="E654" t="str">
        <f>TEXT(Raw_Data!E654,"DD-MM-YYYY")</f>
        <v>24-07-2024</v>
      </c>
    </row>
    <row r="655" spans="1:5" x14ac:dyDescent="0.3">
      <c r="A655">
        <v>1653</v>
      </c>
      <c r="B655" t="str">
        <f>IF(TRIM(Raw_Data!B655)="","Unknown",PROPER(TRIM(Raw_Data!B655)))</f>
        <v>Laptop</v>
      </c>
      <c r="C655" t="str">
        <f>IF(TRIM(Raw_Data!C655)="","South",TRIM(Raw_Data!C655))</f>
        <v>West</v>
      </c>
      <c r="D655">
        <f>IF(TRIM(Raw_Data!D655)="",30435.80739,Raw_Data!D655)</f>
        <v>47989.99</v>
      </c>
      <c r="E655" t="str">
        <f>TEXT(Raw_Data!E655,"DD-MM-YYYY")</f>
        <v>14-10-2024</v>
      </c>
    </row>
    <row r="656" spans="1:5" x14ac:dyDescent="0.3">
      <c r="A656">
        <v>1654</v>
      </c>
      <c r="B656" t="str">
        <f>IF(TRIM(Raw_Data!B656)="","Unknown",PROPER(TRIM(Raw_Data!B656)))</f>
        <v>Keyboard</v>
      </c>
      <c r="C656" t="str">
        <f>IF(TRIM(Raw_Data!C656)="","South",TRIM(Raw_Data!C656))</f>
        <v>East</v>
      </c>
      <c r="D656">
        <f>IF(TRIM(Raw_Data!D656)="",30435.80739,Raw_Data!D656)</f>
        <v>11971.73</v>
      </c>
      <c r="E656" t="str">
        <f>TEXT(Raw_Data!E656,"DD-MM-YYYY")</f>
        <v>23-01-2024</v>
      </c>
    </row>
    <row r="657" spans="1:5" x14ac:dyDescent="0.3">
      <c r="A657">
        <v>1655</v>
      </c>
      <c r="B657" t="str">
        <f>IF(TRIM(Raw_Data!B657)="","Unknown",PROPER(TRIM(Raw_Data!B657)))</f>
        <v>Monitor</v>
      </c>
      <c r="C657" t="str">
        <f>IF(TRIM(Raw_Data!C657)="","South",TRIM(Raw_Data!C657))</f>
        <v>South</v>
      </c>
      <c r="D657">
        <f>IF(TRIM(Raw_Data!D657)="",30435.80739,Raw_Data!D657)</f>
        <v>30435.807390000002</v>
      </c>
      <c r="E657" t="str">
        <f>TEXT(Raw_Data!E657,"DD-MM-YYYY")</f>
        <v>18-04-2024</v>
      </c>
    </row>
    <row r="658" spans="1:5" x14ac:dyDescent="0.3">
      <c r="A658">
        <v>1656</v>
      </c>
      <c r="B658" t="str">
        <f>IF(TRIM(Raw_Data!B658)="","Unknown",PROPER(TRIM(Raw_Data!B658)))</f>
        <v>Mouse</v>
      </c>
      <c r="C658" t="str">
        <f>IF(TRIM(Raw_Data!C658)="","South",TRIM(Raw_Data!C658))</f>
        <v>West</v>
      </c>
      <c r="D658">
        <f>IF(TRIM(Raw_Data!D658)="",30435.80739,Raw_Data!D658)</f>
        <v>37594.239999999998</v>
      </c>
      <c r="E658" t="str">
        <f>TEXT(Raw_Data!E658,"DD-MM-YYYY")</f>
        <v>26-07-2024</v>
      </c>
    </row>
    <row r="659" spans="1:5" x14ac:dyDescent="0.3">
      <c r="A659">
        <v>1657</v>
      </c>
      <c r="B659" t="str">
        <f>IF(TRIM(Raw_Data!B659)="","Unknown",PROPER(TRIM(Raw_Data!B659)))</f>
        <v>Laptop</v>
      </c>
      <c r="C659" t="str">
        <f>IF(TRIM(Raw_Data!C659)="","South",TRIM(Raw_Data!C659))</f>
        <v>South</v>
      </c>
      <c r="D659">
        <f>IF(TRIM(Raw_Data!D659)="",30435.80739,Raw_Data!D659)</f>
        <v>55141.19</v>
      </c>
      <c r="E659" t="str">
        <f>TEXT(Raw_Data!E659,"DD-MM-YYYY")</f>
        <v>03-01-2024</v>
      </c>
    </row>
    <row r="660" spans="1:5" x14ac:dyDescent="0.3">
      <c r="A660">
        <v>1658</v>
      </c>
      <c r="B660" t="str">
        <f>IF(TRIM(Raw_Data!B660)="","Unknown",PROPER(TRIM(Raw_Data!B660)))</f>
        <v>Tablet</v>
      </c>
      <c r="C660" t="str">
        <f>IF(TRIM(Raw_Data!C660)="","South",TRIM(Raw_Data!C660))</f>
        <v>West</v>
      </c>
      <c r="D660">
        <f>IF(TRIM(Raw_Data!D660)="",30435.80739,Raw_Data!D660)</f>
        <v>55652.19</v>
      </c>
      <c r="E660" t="str">
        <f>TEXT(Raw_Data!E660,"DD-MM-YYYY")</f>
        <v>10-01-2024</v>
      </c>
    </row>
    <row r="661" spans="1:5" x14ac:dyDescent="0.3">
      <c r="A661">
        <v>1659</v>
      </c>
      <c r="B661" t="str">
        <f>IF(TRIM(Raw_Data!B661)="","Unknown",PROPER(TRIM(Raw_Data!B661)))</f>
        <v>Keyboard</v>
      </c>
      <c r="C661" t="str">
        <f>IF(TRIM(Raw_Data!C661)="","South",TRIM(Raw_Data!C661))</f>
        <v>North</v>
      </c>
      <c r="D661">
        <f>IF(TRIM(Raw_Data!D661)="",30435.80739,Raw_Data!D661)</f>
        <v>12604.6</v>
      </c>
      <c r="E661" t="str">
        <f>TEXT(Raw_Data!E661,"DD-MM-YYYY")</f>
        <v>09-07-2024</v>
      </c>
    </row>
    <row r="662" spans="1:5" x14ac:dyDescent="0.3">
      <c r="A662">
        <v>1660</v>
      </c>
      <c r="B662" t="str">
        <f>IF(TRIM(Raw_Data!B662)="","Unknown",PROPER(TRIM(Raw_Data!B662)))</f>
        <v>Keyboard</v>
      </c>
      <c r="C662" t="str">
        <f>IF(TRIM(Raw_Data!C662)="","South",TRIM(Raw_Data!C662))</f>
        <v>North</v>
      </c>
      <c r="D662">
        <f>IF(TRIM(Raw_Data!D662)="",30435.80739,Raw_Data!D662)</f>
        <v>43047.27</v>
      </c>
      <c r="E662" t="str">
        <f>TEXT(Raw_Data!E662,"DD-MM-YYYY")</f>
        <v>15-11-2024</v>
      </c>
    </row>
    <row r="663" spans="1:5" x14ac:dyDescent="0.3">
      <c r="A663">
        <v>1661</v>
      </c>
      <c r="B663" t="str">
        <f>IF(TRIM(Raw_Data!B663)="","Unknown",PROPER(TRIM(Raw_Data!B663)))</f>
        <v>Tablet</v>
      </c>
      <c r="C663" t="str">
        <f>IF(TRIM(Raw_Data!C663)="","South",TRIM(Raw_Data!C663))</f>
        <v>South</v>
      </c>
      <c r="D663">
        <f>IF(TRIM(Raw_Data!D663)="",30435.80739,Raw_Data!D663)</f>
        <v>41348.339999999997</v>
      </c>
      <c r="E663" t="str">
        <f>TEXT(Raw_Data!E663,"DD-MM-YYYY")</f>
        <v>04-10-2024</v>
      </c>
    </row>
    <row r="664" spans="1:5" x14ac:dyDescent="0.3">
      <c r="A664">
        <v>1662</v>
      </c>
      <c r="B664" t="str">
        <f>IF(TRIM(Raw_Data!B664)="","Unknown",PROPER(TRIM(Raw_Data!B664)))</f>
        <v>Mouse</v>
      </c>
      <c r="C664" t="str">
        <f>IF(TRIM(Raw_Data!C664)="","South",TRIM(Raw_Data!C664))</f>
        <v>West</v>
      </c>
      <c r="D664">
        <f>IF(TRIM(Raw_Data!D664)="",30435.80739,Raw_Data!D664)</f>
        <v>6137.2</v>
      </c>
      <c r="E664" t="str">
        <f>TEXT(Raw_Data!E664,"DD-MM-YYYY")</f>
        <v>10-02-2024</v>
      </c>
    </row>
    <row r="665" spans="1:5" x14ac:dyDescent="0.3">
      <c r="A665">
        <v>1663</v>
      </c>
      <c r="B665" t="str">
        <f>IF(TRIM(Raw_Data!B665)="","Unknown",PROPER(TRIM(Raw_Data!B665)))</f>
        <v>Tablet</v>
      </c>
      <c r="C665" t="str">
        <f>IF(TRIM(Raw_Data!C665)="","South",TRIM(Raw_Data!C665))</f>
        <v>North</v>
      </c>
      <c r="D665">
        <f>IF(TRIM(Raw_Data!D665)="",30435.80739,Raw_Data!D665)</f>
        <v>1356.78</v>
      </c>
      <c r="E665" t="str">
        <f>TEXT(Raw_Data!E665,"DD-MM-YYYY")</f>
        <v>13-11-2024</v>
      </c>
    </row>
    <row r="666" spans="1:5" x14ac:dyDescent="0.3">
      <c r="A666">
        <v>1664</v>
      </c>
      <c r="B666" t="str">
        <f>IF(TRIM(Raw_Data!B666)="","Unknown",PROPER(TRIM(Raw_Data!B666)))</f>
        <v>Monitor</v>
      </c>
      <c r="C666" t="str">
        <f>IF(TRIM(Raw_Data!C666)="","South",TRIM(Raw_Data!C666))</f>
        <v>West</v>
      </c>
      <c r="D666">
        <f>IF(TRIM(Raw_Data!D666)="",30435.80739,Raw_Data!D666)</f>
        <v>15172.95</v>
      </c>
      <c r="E666" t="str">
        <f>TEXT(Raw_Data!E666,"DD-MM-YYYY")</f>
        <v>01-07-2024</v>
      </c>
    </row>
    <row r="667" spans="1:5" x14ac:dyDescent="0.3">
      <c r="A667">
        <v>1665</v>
      </c>
      <c r="B667" t="str">
        <f>IF(TRIM(Raw_Data!B667)="","Unknown",PROPER(TRIM(Raw_Data!B667)))</f>
        <v>Mouse</v>
      </c>
      <c r="C667" t="str">
        <f>IF(TRIM(Raw_Data!C667)="","South",TRIM(Raw_Data!C667))</f>
        <v>West</v>
      </c>
      <c r="D667">
        <f>IF(TRIM(Raw_Data!D667)="",30435.80739,Raw_Data!D667)</f>
        <v>36363.01</v>
      </c>
      <c r="E667" t="str">
        <f>TEXT(Raw_Data!E667,"DD-MM-YYYY")</f>
        <v>17-01-2024</v>
      </c>
    </row>
    <row r="668" spans="1:5" x14ac:dyDescent="0.3">
      <c r="A668">
        <v>1666</v>
      </c>
      <c r="B668" t="str">
        <f>IF(TRIM(Raw_Data!B668)="","Unknown",PROPER(TRIM(Raw_Data!B668)))</f>
        <v>Monitor</v>
      </c>
      <c r="C668" t="str">
        <f>IF(TRIM(Raw_Data!C668)="","South",TRIM(Raw_Data!C668))</f>
        <v>South</v>
      </c>
      <c r="D668">
        <f>IF(TRIM(Raw_Data!D668)="",30435.80739,Raw_Data!D668)</f>
        <v>52972.81</v>
      </c>
      <c r="E668" t="str">
        <f>TEXT(Raw_Data!E668,"DD-MM-YYYY")</f>
        <v>21-09-2024</v>
      </c>
    </row>
    <row r="669" spans="1:5" x14ac:dyDescent="0.3">
      <c r="A669">
        <v>1667</v>
      </c>
      <c r="B669" t="str">
        <f>IF(TRIM(Raw_Data!B669)="","Unknown",PROPER(TRIM(Raw_Data!B669)))</f>
        <v>Laptop</v>
      </c>
      <c r="C669" t="str">
        <f>IF(TRIM(Raw_Data!C669)="","South",TRIM(Raw_Data!C669))</f>
        <v>North</v>
      </c>
      <c r="D669">
        <f>IF(TRIM(Raw_Data!D669)="",30435.80739,Raw_Data!D669)</f>
        <v>41793.550000000003</v>
      </c>
      <c r="E669" t="str">
        <f>TEXT(Raw_Data!E669,"DD-MM-YYYY")</f>
        <v>22-06-2024</v>
      </c>
    </row>
    <row r="670" spans="1:5" x14ac:dyDescent="0.3">
      <c r="A670">
        <v>1668</v>
      </c>
      <c r="B670" t="str">
        <f>IF(TRIM(Raw_Data!B670)="","Unknown",PROPER(TRIM(Raw_Data!B670)))</f>
        <v>Mouse</v>
      </c>
      <c r="C670" t="str">
        <f>IF(TRIM(Raw_Data!C670)="","South",TRIM(Raw_Data!C670))</f>
        <v>North</v>
      </c>
      <c r="D670">
        <f>IF(TRIM(Raw_Data!D670)="",30435.80739,Raw_Data!D670)</f>
        <v>45968.3</v>
      </c>
      <c r="E670" t="str">
        <f>TEXT(Raw_Data!E670,"DD-MM-YYYY")</f>
        <v>25-06-2024</v>
      </c>
    </row>
    <row r="671" spans="1:5" x14ac:dyDescent="0.3">
      <c r="A671">
        <v>1669</v>
      </c>
      <c r="B671" t="str">
        <f>IF(TRIM(Raw_Data!B671)="","Unknown",PROPER(TRIM(Raw_Data!B671)))</f>
        <v>Tablet</v>
      </c>
      <c r="C671" t="str">
        <f>IF(TRIM(Raw_Data!C671)="","South",TRIM(Raw_Data!C671))</f>
        <v>North</v>
      </c>
      <c r="D671">
        <f>IF(TRIM(Raw_Data!D671)="",30435.80739,Raw_Data!D671)</f>
        <v>36481.660000000003</v>
      </c>
      <c r="E671" t="str">
        <f>TEXT(Raw_Data!E671,"DD-MM-YYYY")</f>
        <v>15-02-2024</v>
      </c>
    </row>
    <row r="672" spans="1:5" x14ac:dyDescent="0.3">
      <c r="A672">
        <v>1670</v>
      </c>
      <c r="B672" t="str">
        <f>IF(TRIM(Raw_Data!B672)="","Unknown",PROPER(TRIM(Raw_Data!B672)))</f>
        <v>Keyboard</v>
      </c>
      <c r="C672" t="str">
        <f>IF(TRIM(Raw_Data!C672)="","South",TRIM(Raw_Data!C672))</f>
        <v>East</v>
      </c>
      <c r="D672">
        <f>IF(TRIM(Raw_Data!D672)="",30435.80739,Raw_Data!D672)</f>
        <v>40751.620000000003</v>
      </c>
      <c r="E672" t="str">
        <f>TEXT(Raw_Data!E672,"DD-MM-YYYY")</f>
        <v>18-07-2024</v>
      </c>
    </row>
    <row r="673" spans="1:5" x14ac:dyDescent="0.3">
      <c r="A673">
        <v>1671</v>
      </c>
      <c r="B673" t="str">
        <f>IF(TRIM(Raw_Data!B673)="","Unknown",PROPER(TRIM(Raw_Data!B673)))</f>
        <v>Keyboard</v>
      </c>
      <c r="C673" t="str">
        <f>IF(TRIM(Raw_Data!C673)="","South",TRIM(Raw_Data!C673))</f>
        <v>North</v>
      </c>
      <c r="D673">
        <f>IF(TRIM(Raw_Data!D673)="",30435.80739,Raw_Data!D673)</f>
        <v>13039.8</v>
      </c>
      <c r="E673" t="str">
        <f>TEXT(Raw_Data!E673,"DD-MM-YYYY")</f>
        <v>17-07-2024</v>
      </c>
    </row>
    <row r="674" spans="1:5" x14ac:dyDescent="0.3">
      <c r="A674">
        <v>1672</v>
      </c>
      <c r="B674" t="str">
        <f>IF(TRIM(Raw_Data!B674)="","Unknown",PROPER(TRIM(Raw_Data!B674)))</f>
        <v>Tablet</v>
      </c>
      <c r="C674" t="str">
        <f>IF(TRIM(Raw_Data!C674)="","South",TRIM(Raw_Data!C674))</f>
        <v>North</v>
      </c>
      <c r="D674">
        <f>IF(TRIM(Raw_Data!D674)="",30435.80739,Raw_Data!D674)</f>
        <v>37175.96</v>
      </c>
      <c r="E674" t="str">
        <f>TEXT(Raw_Data!E674,"DD-MM-YYYY")</f>
        <v>17-04-2024</v>
      </c>
    </row>
    <row r="675" spans="1:5" x14ac:dyDescent="0.3">
      <c r="A675">
        <v>1673</v>
      </c>
      <c r="B675" t="str">
        <f>IF(TRIM(Raw_Data!B675)="","Unknown",PROPER(TRIM(Raw_Data!B675)))</f>
        <v>Tablet</v>
      </c>
      <c r="C675" t="str">
        <f>IF(TRIM(Raw_Data!C675)="","South",TRIM(Raw_Data!C675))</f>
        <v>West</v>
      </c>
      <c r="D675">
        <f>IF(TRIM(Raw_Data!D675)="",30435.80739,Raw_Data!D675)</f>
        <v>8283.5400000000009</v>
      </c>
      <c r="E675" t="str">
        <f>TEXT(Raw_Data!E675,"DD-MM-YYYY")</f>
        <v>30-10-2024</v>
      </c>
    </row>
    <row r="676" spans="1:5" x14ac:dyDescent="0.3">
      <c r="A676">
        <v>1674</v>
      </c>
      <c r="B676" t="str">
        <f>IF(TRIM(Raw_Data!B676)="","Unknown",PROPER(TRIM(Raw_Data!B676)))</f>
        <v>Laptop</v>
      </c>
      <c r="C676" t="str">
        <f>IF(TRIM(Raw_Data!C676)="","South",TRIM(Raw_Data!C676))</f>
        <v>North</v>
      </c>
      <c r="D676">
        <f>IF(TRIM(Raw_Data!D676)="",30435.80739,Raw_Data!D676)</f>
        <v>50506.879999999997</v>
      </c>
      <c r="E676" t="str">
        <f>TEXT(Raw_Data!E676,"DD-MM-YYYY")</f>
        <v>09-05-2024</v>
      </c>
    </row>
    <row r="677" spans="1:5" x14ac:dyDescent="0.3">
      <c r="A677">
        <v>1675</v>
      </c>
      <c r="B677" t="str">
        <f>IF(TRIM(Raw_Data!B677)="","Unknown",PROPER(TRIM(Raw_Data!B677)))</f>
        <v>Keyboard</v>
      </c>
      <c r="C677" t="str">
        <f>IF(TRIM(Raw_Data!C677)="","South",TRIM(Raw_Data!C677))</f>
        <v>West</v>
      </c>
      <c r="D677">
        <f>IF(TRIM(Raw_Data!D677)="",30435.80739,Raw_Data!D677)</f>
        <v>58549.21</v>
      </c>
      <c r="E677" t="str">
        <f>TEXT(Raw_Data!E677,"DD-MM-YYYY")</f>
        <v>28-09-2024</v>
      </c>
    </row>
    <row r="678" spans="1:5" x14ac:dyDescent="0.3">
      <c r="A678">
        <v>1676</v>
      </c>
      <c r="B678" t="str">
        <f>IF(TRIM(Raw_Data!B678)="","Unknown",PROPER(TRIM(Raw_Data!B678)))</f>
        <v>Monitor</v>
      </c>
      <c r="C678" t="str">
        <f>IF(TRIM(Raw_Data!C678)="","South",TRIM(Raw_Data!C678))</f>
        <v>East</v>
      </c>
      <c r="D678">
        <f>IF(TRIM(Raw_Data!D678)="",30435.80739,Raw_Data!D678)</f>
        <v>50684.3</v>
      </c>
      <c r="E678" t="str">
        <f>TEXT(Raw_Data!E678,"DD-MM-YYYY")</f>
        <v>02-09-2024</v>
      </c>
    </row>
    <row r="679" spans="1:5" x14ac:dyDescent="0.3">
      <c r="A679">
        <v>1677</v>
      </c>
      <c r="B679" t="str">
        <f>IF(TRIM(Raw_Data!B679)="","Unknown",PROPER(TRIM(Raw_Data!B679)))</f>
        <v>Keyboard</v>
      </c>
      <c r="C679" t="str">
        <f>IF(TRIM(Raw_Data!C679)="","South",TRIM(Raw_Data!C679))</f>
        <v>East</v>
      </c>
      <c r="D679">
        <f>IF(TRIM(Raw_Data!D679)="",30435.80739,Raw_Data!D679)</f>
        <v>6199.93</v>
      </c>
      <c r="E679" t="str">
        <f>TEXT(Raw_Data!E679,"DD-MM-YYYY")</f>
        <v>30-10-2024</v>
      </c>
    </row>
    <row r="680" spans="1:5" x14ac:dyDescent="0.3">
      <c r="A680">
        <v>1678</v>
      </c>
      <c r="B680" t="str">
        <f>IF(TRIM(Raw_Data!B680)="","Unknown",PROPER(TRIM(Raw_Data!B680)))</f>
        <v>Monitor</v>
      </c>
      <c r="C680" t="str">
        <f>IF(TRIM(Raw_Data!C680)="","South",TRIM(Raw_Data!C680))</f>
        <v>North</v>
      </c>
      <c r="D680">
        <f>IF(TRIM(Raw_Data!D680)="",30435.80739,Raw_Data!D680)</f>
        <v>8027.29</v>
      </c>
      <c r="E680" t="str">
        <f>TEXT(Raw_Data!E680,"DD-MM-YYYY")</f>
        <v>02-04-2024</v>
      </c>
    </row>
    <row r="681" spans="1:5" x14ac:dyDescent="0.3">
      <c r="A681">
        <v>1679</v>
      </c>
      <c r="B681" t="str">
        <f>IF(TRIM(Raw_Data!B681)="","Unknown",PROPER(TRIM(Raw_Data!B681)))</f>
        <v>Tablet</v>
      </c>
      <c r="C681" t="str">
        <f>IF(TRIM(Raw_Data!C681)="","South",TRIM(Raw_Data!C681))</f>
        <v>East</v>
      </c>
      <c r="D681">
        <f>IF(TRIM(Raw_Data!D681)="",30435.80739,Raw_Data!D681)</f>
        <v>55787.22</v>
      </c>
      <c r="E681" t="str">
        <f>TEXT(Raw_Data!E681,"DD-MM-YYYY")</f>
        <v>04-02-2024</v>
      </c>
    </row>
    <row r="682" spans="1:5" x14ac:dyDescent="0.3">
      <c r="A682">
        <v>1680</v>
      </c>
      <c r="B682" t="str">
        <f>IF(TRIM(Raw_Data!B682)="","Unknown",PROPER(TRIM(Raw_Data!B682)))</f>
        <v>Keyboard</v>
      </c>
      <c r="C682" t="str">
        <f>IF(TRIM(Raw_Data!C682)="","South",TRIM(Raw_Data!C682))</f>
        <v>South</v>
      </c>
      <c r="D682">
        <f>IF(TRIM(Raw_Data!D682)="",30435.80739,Raw_Data!D682)</f>
        <v>49476.85</v>
      </c>
      <c r="E682" t="str">
        <f>TEXT(Raw_Data!E682,"DD-MM-YYYY")</f>
        <v>24-05-2024</v>
      </c>
    </row>
    <row r="683" spans="1:5" x14ac:dyDescent="0.3">
      <c r="A683">
        <v>1681</v>
      </c>
      <c r="B683" t="str">
        <f>IF(TRIM(Raw_Data!B683)="","Unknown",PROPER(TRIM(Raw_Data!B683)))</f>
        <v>Monitor</v>
      </c>
      <c r="C683" t="str">
        <f>IF(TRIM(Raw_Data!C683)="","South",TRIM(Raw_Data!C683))</f>
        <v>North</v>
      </c>
      <c r="D683">
        <f>IF(TRIM(Raw_Data!D683)="",30435.80739,Raw_Data!D683)</f>
        <v>42994.9</v>
      </c>
      <c r="E683" t="str">
        <f>TEXT(Raw_Data!E683,"DD-MM-YYYY")</f>
        <v>30-04-2024</v>
      </c>
    </row>
    <row r="684" spans="1:5" x14ac:dyDescent="0.3">
      <c r="A684">
        <v>1682</v>
      </c>
      <c r="B684" t="str">
        <f>IF(TRIM(Raw_Data!B684)="","Unknown",PROPER(TRIM(Raw_Data!B684)))</f>
        <v>Mouse</v>
      </c>
      <c r="C684" t="str">
        <f>IF(TRIM(Raw_Data!C684)="","South",TRIM(Raw_Data!C684))</f>
        <v>West</v>
      </c>
      <c r="D684">
        <f>IF(TRIM(Raw_Data!D684)="",30435.80739,Raw_Data!D684)</f>
        <v>40334.449999999997</v>
      </c>
      <c r="E684" t="str">
        <f>TEXT(Raw_Data!E684,"DD-MM-YYYY")</f>
        <v>19-05-2024</v>
      </c>
    </row>
    <row r="685" spans="1:5" x14ac:dyDescent="0.3">
      <c r="A685">
        <v>1683</v>
      </c>
      <c r="B685" t="str">
        <f>IF(TRIM(Raw_Data!B685)="","Unknown",PROPER(TRIM(Raw_Data!B685)))</f>
        <v>Keyboard</v>
      </c>
      <c r="C685" t="str">
        <f>IF(TRIM(Raw_Data!C685)="","South",TRIM(Raw_Data!C685))</f>
        <v>West</v>
      </c>
      <c r="D685">
        <f>IF(TRIM(Raw_Data!D685)="",30435.80739,Raw_Data!D685)</f>
        <v>11960.84</v>
      </c>
      <c r="E685" t="str">
        <f>TEXT(Raw_Data!E685,"DD-MM-YYYY")</f>
        <v>27-12-2024</v>
      </c>
    </row>
    <row r="686" spans="1:5" x14ac:dyDescent="0.3">
      <c r="A686">
        <v>1684</v>
      </c>
      <c r="B686" t="str">
        <f>IF(TRIM(Raw_Data!B686)="","Unknown",PROPER(TRIM(Raw_Data!B686)))</f>
        <v>Keyboard</v>
      </c>
      <c r="C686" t="str">
        <f>IF(TRIM(Raw_Data!C686)="","South",TRIM(Raw_Data!C686))</f>
        <v>South</v>
      </c>
      <c r="D686">
        <f>IF(TRIM(Raw_Data!D686)="",30435.80739,Raw_Data!D686)</f>
        <v>56039.19</v>
      </c>
      <c r="E686" t="str">
        <f>TEXT(Raw_Data!E686,"DD-MM-YYYY")</f>
        <v>03-08-2024</v>
      </c>
    </row>
    <row r="687" spans="1:5" x14ac:dyDescent="0.3">
      <c r="A687">
        <v>1685</v>
      </c>
      <c r="B687" t="str">
        <f>IF(TRIM(Raw_Data!B687)="","Unknown",PROPER(TRIM(Raw_Data!B687)))</f>
        <v>Keyboard</v>
      </c>
      <c r="C687" t="str">
        <f>IF(TRIM(Raw_Data!C687)="","South",TRIM(Raw_Data!C687))</f>
        <v>West</v>
      </c>
      <c r="D687">
        <f>IF(TRIM(Raw_Data!D687)="",30435.80739,Raw_Data!D687)</f>
        <v>51280.53</v>
      </c>
      <c r="E687" t="str">
        <f>TEXT(Raw_Data!E687,"DD-MM-YYYY")</f>
        <v>24-05-2024</v>
      </c>
    </row>
    <row r="688" spans="1:5" x14ac:dyDescent="0.3">
      <c r="A688">
        <v>1686</v>
      </c>
      <c r="B688" t="str">
        <f>IF(TRIM(Raw_Data!B688)="","Unknown",PROPER(TRIM(Raw_Data!B688)))</f>
        <v>Mouse</v>
      </c>
      <c r="C688" t="str">
        <f>IF(TRIM(Raw_Data!C688)="","South",TRIM(Raw_Data!C688))</f>
        <v>South</v>
      </c>
      <c r="D688">
        <f>IF(TRIM(Raw_Data!D688)="",30435.80739,Raw_Data!D688)</f>
        <v>17599.689999999999</v>
      </c>
      <c r="E688" t="str">
        <f>TEXT(Raw_Data!E688,"DD-MM-YYYY")</f>
        <v>08-02-2024</v>
      </c>
    </row>
    <row r="689" spans="1:5" x14ac:dyDescent="0.3">
      <c r="A689">
        <v>1687</v>
      </c>
      <c r="B689" t="str">
        <f>IF(TRIM(Raw_Data!B689)="","Unknown",PROPER(TRIM(Raw_Data!B689)))</f>
        <v>Laptop</v>
      </c>
      <c r="C689" t="str">
        <f>IF(TRIM(Raw_Data!C689)="","South",TRIM(Raw_Data!C689))</f>
        <v>West</v>
      </c>
      <c r="D689">
        <f>IF(TRIM(Raw_Data!D689)="",30435.80739,Raw_Data!D689)</f>
        <v>12502.54</v>
      </c>
      <c r="E689" t="str">
        <f>TEXT(Raw_Data!E689,"DD-MM-YYYY")</f>
        <v>19-04-2024</v>
      </c>
    </row>
    <row r="690" spans="1:5" x14ac:dyDescent="0.3">
      <c r="A690">
        <v>1688</v>
      </c>
      <c r="B690" t="str">
        <f>IF(TRIM(Raw_Data!B690)="","Unknown",PROPER(TRIM(Raw_Data!B690)))</f>
        <v>Laptop</v>
      </c>
      <c r="C690" t="str">
        <f>IF(TRIM(Raw_Data!C690)="","South",TRIM(Raw_Data!C690))</f>
        <v>East</v>
      </c>
      <c r="D690">
        <f>IF(TRIM(Raw_Data!D690)="",30435.80739,Raw_Data!D690)</f>
        <v>26072.26</v>
      </c>
      <c r="E690" t="str">
        <f>TEXT(Raw_Data!E690,"DD-MM-YYYY")</f>
        <v>08-12-2024</v>
      </c>
    </row>
    <row r="691" spans="1:5" x14ac:dyDescent="0.3">
      <c r="A691">
        <v>1689</v>
      </c>
      <c r="B691" t="str">
        <f>IF(TRIM(Raw_Data!B691)="","Unknown",PROPER(TRIM(Raw_Data!B691)))</f>
        <v>Monitor</v>
      </c>
      <c r="C691" t="str">
        <f>IF(TRIM(Raw_Data!C691)="","South",TRIM(Raw_Data!C691))</f>
        <v>West</v>
      </c>
      <c r="D691">
        <f>IF(TRIM(Raw_Data!D691)="",30435.80739,Raw_Data!D691)</f>
        <v>25881.040000000001</v>
      </c>
      <c r="E691" t="str">
        <f>TEXT(Raw_Data!E691,"DD-MM-YYYY")</f>
        <v>13-08-2024</v>
      </c>
    </row>
    <row r="692" spans="1:5" x14ac:dyDescent="0.3">
      <c r="A692">
        <v>1690</v>
      </c>
      <c r="B692" t="str">
        <f>IF(TRIM(Raw_Data!B692)="","Unknown",PROPER(TRIM(Raw_Data!B692)))</f>
        <v>Mouse</v>
      </c>
      <c r="C692" t="str">
        <f>IF(TRIM(Raw_Data!C692)="","South",TRIM(Raw_Data!C692))</f>
        <v>South</v>
      </c>
      <c r="D692">
        <f>IF(TRIM(Raw_Data!D692)="",30435.80739,Raw_Data!D692)</f>
        <v>53203.67</v>
      </c>
      <c r="E692" t="str">
        <f>TEXT(Raw_Data!E692,"DD-MM-YYYY")</f>
        <v>04-11-2024</v>
      </c>
    </row>
    <row r="693" spans="1:5" x14ac:dyDescent="0.3">
      <c r="A693">
        <v>1691</v>
      </c>
      <c r="B693" t="str">
        <f>IF(TRIM(Raw_Data!B693)="","Unknown",PROPER(TRIM(Raw_Data!B693)))</f>
        <v>Laptop</v>
      </c>
      <c r="C693" t="str">
        <f>IF(TRIM(Raw_Data!C693)="","South",TRIM(Raw_Data!C693))</f>
        <v>West</v>
      </c>
      <c r="D693">
        <f>IF(TRIM(Raw_Data!D693)="",30435.80739,Raw_Data!D693)</f>
        <v>36446.74</v>
      </c>
      <c r="E693" t="str">
        <f>TEXT(Raw_Data!E693,"DD-MM-YYYY")</f>
        <v>22-10-2024</v>
      </c>
    </row>
    <row r="694" spans="1:5" x14ac:dyDescent="0.3">
      <c r="A694">
        <v>1692</v>
      </c>
      <c r="B694" t="str">
        <f>IF(TRIM(Raw_Data!B694)="","Unknown",PROPER(TRIM(Raw_Data!B694)))</f>
        <v>Mouse</v>
      </c>
      <c r="C694" t="str">
        <f>IF(TRIM(Raw_Data!C694)="","South",TRIM(Raw_Data!C694))</f>
        <v>West</v>
      </c>
      <c r="D694">
        <f>IF(TRIM(Raw_Data!D694)="",30435.80739,Raw_Data!D694)</f>
        <v>11015.79</v>
      </c>
      <c r="E694" t="str">
        <f>TEXT(Raw_Data!E694,"DD-MM-YYYY")</f>
        <v>19-05-2024</v>
      </c>
    </row>
    <row r="695" spans="1:5" x14ac:dyDescent="0.3">
      <c r="A695">
        <v>1693</v>
      </c>
      <c r="B695" t="str">
        <f>IF(TRIM(Raw_Data!B695)="","Unknown",PROPER(TRIM(Raw_Data!B695)))</f>
        <v>Tablet</v>
      </c>
      <c r="C695" t="str">
        <f>IF(TRIM(Raw_Data!C695)="","South",TRIM(Raw_Data!C695))</f>
        <v>East</v>
      </c>
      <c r="D695">
        <f>IF(TRIM(Raw_Data!D695)="",30435.80739,Raw_Data!D695)</f>
        <v>15734.91</v>
      </c>
      <c r="E695" t="str">
        <f>TEXT(Raw_Data!E695,"DD-MM-YYYY")</f>
        <v>11-10-2024</v>
      </c>
    </row>
    <row r="696" spans="1:5" x14ac:dyDescent="0.3">
      <c r="A696">
        <v>1694</v>
      </c>
      <c r="B696" t="str">
        <f>IF(TRIM(Raw_Data!B696)="","Unknown",PROPER(TRIM(Raw_Data!B696)))</f>
        <v>Monitor</v>
      </c>
      <c r="C696" t="str">
        <f>IF(TRIM(Raw_Data!C696)="","South",TRIM(Raw_Data!C696))</f>
        <v>North</v>
      </c>
      <c r="D696">
        <f>IF(TRIM(Raw_Data!D696)="",30435.80739,Raw_Data!D696)</f>
        <v>44862.68</v>
      </c>
      <c r="E696" t="str">
        <f>TEXT(Raw_Data!E696,"DD-MM-YYYY")</f>
        <v>22-03-2024</v>
      </c>
    </row>
    <row r="697" spans="1:5" x14ac:dyDescent="0.3">
      <c r="A697">
        <v>1695</v>
      </c>
      <c r="B697" t="str">
        <f>IF(TRIM(Raw_Data!B697)="","Unknown",PROPER(TRIM(Raw_Data!B697)))</f>
        <v>Laptop</v>
      </c>
      <c r="C697" t="str">
        <f>IF(TRIM(Raw_Data!C697)="","South",TRIM(Raw_Data!C697))</f>
        <v>West</v>
      </c>
      <c r="D697">
        <f>IF(TRIM(Raw_Data!D697)="",30435.80739,Raw_Data!D697)</f>
        <v>8440.7999999999993</v>
      </c>
      <c r="E697" t="str">
        <f>TEXT(Raw_Data!E697,"DD-MM-YYYY")</f>
        <v>10-09-2024</v>
      </c>
    </row>
    <row r="698" spans="1:5" x14ac:dyDescent="0.3">
      <c r="A698">
        <v>1696</v>
      </c>
      <c r="B698" t="str">
        <f>IF(TRIM(Raw_Data!B698)="","Unknown",PROPER(TRIM(Raw_Data!B698)))</f>
        <v>Mouse</v>
      </c>
      <c r="C698" t="str">
        <f>IF(TRIM(Raw_Data!C698)="","South",TRIM(Raw_Data!C698))</f>
        <v>East</v>
      </c>
      <c r="D698">
        <f>IF(TRIM(Raw_Data!D698)="",30435.80739,Raw_Data!D698)</f>
        <v>8745.99</v>
      </c>
      <c r="E698" t="str">
        <f>TEXT(Raw_Data!E698,"DD-MM-YYYY")</f>
        <v>26-06-2024</v>
      </c>
    </row>
    <row r="699" spans="1:5" x14ac:dyDescent="0.3">
      <c r="A699">
        <v>1697</v>
      </c>
      <c r="B699" t="str">
        <f>IF(TRIM(Raw_Data!B699)="","Unknown",PROPER(TRIM(Raw_Data!B699)))</f>
        <v>Tablet</v>
      </c>
      <c r="C699" t="str">
        <f>IF(TRIM(Raw_Data!C699)="","South",TRIM(Raw_Data!C699))</f>
        <v>East</v>
      </c>
      <c r="D699">
        <f>IF(TRIM(Raw_Data!D699)="",30435.80739,Raw_Data!D699)</f>
        <v>10136.6</v>
      </c>
      <c r="E699" t="str">
        <f>TEXT(Raw_Data!E699,"DD-MM-YYYY")</f>
        <v>16-07-2024</v>
      </c>
    </row>
    <row r="700" spans="1:5" x14ac:dyDescent="0.3">
      <c r="A700">
        <v>1698</v>
      </c>
      <c r="B700" t="str">
        <f>IF(TRIM(Raw_Data!B700)="","Unknown",PROPER(TRIM(Raw_Data!B700)))</f>
        <v>Unknown</v>
      </c>
      <c r="C700" t="str">
        <f>IF(TRIM(Raw_Data!C700)="","South",TRIM(Raw_Data!C700))</f>
        <v>North</v>
      </c>
      <c r="D700">
        <f>IF(TRIM(Raw_Data!D700)="",30435.80739,Raw_Data!D700)</f>
        <v>9729.5400000000009</v>
      </c>
      <c r="E700" t="str">
        <f>TEXT(Raw_Data!E700,"DD-MM-YYYY")</f>
        <v>06-08-2024</v>
      </c>
    </row>
    <row r="701" spans="1:5" x14ac:dyDescent="0.3">
      <c r="A701">
        <v>1699</v>
      </c>
      <c r="B701" t="str">
        <f>IF(TRIM(Raw_Data!B701)="","Unknown",PROPER(TRIM(Raw_Data!B701)))</f>
        <v>Monitor</v>
      </c>
      <c r="C701" t="str">
        <f>IF(TRIM(Raw_Data!C701)="","South",TRIM(Raw_Data!C701))</f>
        <v>East</v>
      </c>
      <c r="D701">
        <f>IF(TRIM(Raw_Data!D701)="",30435.80739,Raw_Data!D701)</f>
        <v>48705.66</v>
      </c>
      <c r="E701" t="str">
        <f>TEXT(Raw_Data!E701,"DD-MM-YYYY")</f>
        <v>27-12-2024</v>
      </c>
    </row>
    <row r="702" spans="1:5" x14ac:dyDescent="0.3">
      <c r="A702">
        <v>1700</v>
      </c>
      <c r="B702" t="str">
        <f>IF(TRIM(Raw_Data!B702)="","Unknown",PROPER(TRIM(Raw_Data!B702)))</f>
        <v>Keyboard</v>
      </c>
      <c r="C702" t="str">
        <f>IF(TRIM(Raw_Data!C702)="","South",TRIM(Raw_Data!C702))</f>
        <v>South</v>
      </c>
      <c r="D702">
        <f>IF(TRIM(Raw_Data!D702)="",30435.80739,Raw_Data!D702)</f>
        <v>32763.42</v>
      </c>
      <c r="E702" t="str">
        <f>TEXT(Raw_Data!E702,"DD-MM-YYYY")</f>
        <v>31-08-2024</v>
      </c>
    </row>
    <row r="703" spans="1:5" x14ac:dyDescent="0.3">
      <c r="A703">
        <v>1701</v>
      </c>
      <c r="B703" t="str">
        <f>IF(TRIM(Raw_Data!B703)="","Unknown",PROPER(TRIM(Raw_Data!B703)))</f>
        <v>Monitor</v>
      </c>
      <c r="C703" t="str">
        <f>IF(TRIM(Raw_Data!C703)="","South",TRIM(Raw_Data!C703))</f>
        <v>West</v>
      </c>
      <c r="D703">
        <f>IF(TRIM(Raw_Data!D703)="",30435.80739,Raw_Data!D703)</f>
        <v>40920.42</v>
      </c>
      <c r="E703" t="str">
        <f>TEXT(Raw_Data!E703,"DD-MM-YYYY")</f>
        <v>18-03-2024</v>
      </c>
    </row>
    <row r="704" spans="1:5" x14ac:dyDescent="0.3">
      <c r="A704">
        <v>1702</v>
      </c>
      <c r="B704" t="str">
        <f>IF(TRIM(Raw_Data!B704)="","Unknown",PROPER(TRIM(Raw_Data!B704)))</f>
        <v>Mouse</v>
      </c>
      <c r="C704" t="str">
        <f>IF(TRIM(Raw_Data!C704)="","South",TRIM(Raw_Data!C704))</f>
        <v>North</v>
      </c>
      <c r="D704">
        <f>IF(TRIM(Raw_Data!D704)="",30435.80739,Raw_Data!D704)</f>
        <v>55496.23</v>
      </c>
      <c r="E704" t="str">
        <f>TEXT(Raw_Data!E704,"DD-MM-YYYY")</f>
        <v>02-11-2024</v>
      </c>
    </row>
    <row r="705" spans="1:5" x14ac:dyDescent="0.3">
      <c r="A705">
        <v>1703</v>
      </c>
      <c r="B705" t="str">
        <f>IF(TRIM(Raw_Data!B705)="","Unknown",PROPER(TRIM(Raw_Data!B705)))</f>
        <v>Tablet</v>
      </c>
      <c r="C705" t="str">
        <f>IF(TRIM(Raw_Data!C705)="","South",TRIM(Raw_Data!C705))</f>
        <v>East</v>
      </c>
      <c r="D705">
        <f>IF(TRIM(Raw_Data!D705)="",30435.80739,Raw_Data!D705)</f>
        <v>17683.16</v>
      </c>
      <c r="E705" t="str">
        <f>TEXT(Raw_Data!E705,"DD-MM-YYYY")</f>
        <v>04-01-2024</v>
      </c>
    </row>
    <row r="706" spans="1:5" x14ac:dyDescent="0.3">
      <c r="A706">
        <v>1704</v>
      </c>
      <c r="B706" t="str">
        <f>IF(TRIM(Raw_Data!B706)="","Unknown",PROPER(TRIM(Raw_Data!B706)))</f>
        <v>Monitor</v>
      </c>
      <c r="C706" t="str">
        <f>IF(TRIM(Raw_Data!C706)="","South",TRIM(Raw_Data!C706))</f>
        <v>West</v>
      </c>
      <c r="D706">
        <f>IF(TRIM(Raw_Data!D706)="",30435.80739,Raw_Data!D706)</f>
        <v>38782.46</v>
      </c>
      <c r="E706" t="str">
        <f>TEXT(Raw_Data!E706,"DD-MM-YYYY")</f>
        <v>04-11-2024</v>
      </c>
    </row>
    <row r="707" spans="1:5" x14ac:dyDescent="0.3">
      <c r="A707">
        <v>1705</v>
      </c>
      <c r="B707" t="str">
        <f>IF(TRIM(Raw_Data!B707)="","Unknown",PROPER(TRIM(Raw_Data!B707)))</f>
        <v>Keyboard</v>
      </c>
      <c r="C707" t="str">
        <f>IF(TRIM(Raw_Data!C707)="","South",TRIM(Raw_Data!C707))</f>
        <v>South</v>
      </c>
      <c r="D707">
        <f>IF(TRIM(Raw_Data!D707)="",30435.80739,Raw_Data!D707)</f>
        <v>24231.55</v>
      </c>
      <c r="E707" t="str">
        <f>TEXT(Raw_Data!E707,"DD-MM-YYYY")</f>
        <v>11-09-2024</v>
      </c>
    </row>
    <row r="708" spans="1:5" x14ac:dyDescent="0.3">
      <c r="A708">
        <v>1706</v>
      </c>
      <c r="B708" t="str">
        <f>IF(TRIM(Raw_Data!B708)="","Unknown",PROPER(TRIM(Raw_Data!B708)))</f>
        <v>Laptop</v>
      </c>
      <c r="C708" t="str">
        <f>IF(TRIM(Raw_Data!C708)="","South",TRIM(Raw_Data!C708))</f>
        <v>West</v>
      </c>
      <c r="D708">
        <f>IF(TRIM(Raw_Data!D708)="",30435.80739,Raw_Data!D708)</f>
        <v>10913.18</v>
      </c>
      <c r="E708" t="str">
        <f>TEXT(Raw_Data!E708,"DD-MM-YYYY")</f>
        <v>05-08-2024</v>
      </c>
    </row>
    <row r="709" spans="1:5" x14ac:dyDescent="0.3">
      <c r="A709">
        <v>1707</v>
      </c>
      <c r="B709" t="str">
        <f>IF(TRIM(Raw_Data!B709)="","Unknown",PROPER(TRIM(Raw_Data!B709)))</f>
        <v>Mouse</v>
      </c>
      <c r="C709" t="str">
        <f>IF(TRIM(Raw_Data!C709)="","South",TRIM(Raw_Data!C709))</f>
        <v>East</v>
      </c>
      <c r="D709">
        <f>IF(TRIM(Raw_Data!D709)="",30435.80739,Raw_Data!D709)</f>
        <v>1982.97</v>
      </c>
      <c r="E709" t="str">
        <f>TEXT(Raw_Data!E709,"DD-MM-YYYY")</f>
        <v>20-10-2024</v>
      </c>
    </row>
    <row r="710" spans="1:5" x14ac:dyDescent="0.3">
      <c r="A710">
        <v>1708</v>
      </c>
      <c r="B710" t="str">
        <f>IF(TRIM(Raw_Data!B710)="","Unknown",PROPER(TRIM(Raw_Data!B710)))</f>
        <v>Keyboard</v>
      </c>
      <c r="C710" t="str">
        <f>IF(TRIM(Raw_Data!C710)="","South",TRIM(Raw_Data!C710))</f>
        <v>East</v>
      </c>
      <c r="D710">
        <f>IF(TRIM(Raw_Data!D710)="",30435.80739,Raw_Data!D710)</f>
        <v>8732.4599999999991</v>
      </c>
      <c r="E710" t="str">
        <f>TEXT(Raw_Data!E710,"DD-MM-YYYY")</f>
        <v>26-08-2024</v>
      </c>
    </row>
    <row r="711" spans="1:5" x14ac:dyDescent="0.3">
      <c r="A711">
        <v>1709</v>
      </c>
      <c r="B711" t="str">
        <f>IF(TRIM(Raw_Data!B711)="","Unknown",PROPER(TRIM(Raw_Data!B711)))</f>
        <v>Keyboard</v>
      </c>
      <c r="C711" t="str">
        <f>IF(TRIM(Raw_Data!C711)="","South",TRIM(Raw_Data!C711))</f>
        <v>East</v>
      </c>
      <c r="D711">
        <f>IF(TRIM(Raw_Data!D711)="",30435.80739,Raw_Data!D711)</f>
        <v>35342.14</v>
      </c>
      <c r="E711" t="str">
        <f>TEXT(Raw_Data!E711,"DD-MM-YYYY")</f>
        <v>27-01-2024</v>
      </c>
    </row>
    <row r="712" spans="1:5" x14ac:dyDescent="0.3">
      <c r="A712">
        <v>1710</v>
      </c>
      <c r="B712" t="str">
        <f>IF(TRIM(Raw_Data!B712)="","Unknown",PROPER(TRIM(Raw_Data!B712)))</f>
        <v>Keyboard</v>
      </c>
      <c r="C712" t="str">
        <f>IF(TRIM(Raw_Data!C712)="","South",TRIM(Raw_Data!C712))</f>
        <v>West</v>
      </c>
      <c r="D712">
        <f>IF(TRIM(Raw_Data!D712)="",30435.80739,Raw_Data!D712)</f>
        <v>51914.62</v>
      </c>
      <c r="E712" t="str">
        <f>TEXT(Raw_Data!E712,"DD-MM-YYYY")</f>
        <v>03-05-2024</v>
      </c>
    </row>
    <row r="713" spans="1:5" x14ac:dyDescent="0.3">
      <c r="A713">
        <v>1711</v>
      </c>
      <c r="B713" t="str">
        <f>IF(TRIM(Raw_Data!B713)="","Unknown",PROPER(TRIM(Raw_Data!B713)))</f>
        <v>Keyboard</v>
      </c>
      <c r="C713" t="str">
        <f>IF(TRIM(Raw_Data!C713)="","South",TRIM(Raw_Data!C713))</f>
        <v>West</v>
      </c>
      <c r="D713">
        <f>IF(TRIM(Raw_Data!D713)="",30435.80739,Raw_Data!D713)</f>
        <v>49761.41</v>
      </c>
      <c r="E713" t="str">
        <f>TEXT(Raw_Data!E713,"DD-MM-YYYY")</f>
        <v>24-03-2024</v>
      </c>
    </row>
    <row r="714" spans="1:5" x14ac:dyDescent="0.3">
      <c r="A714">
        <v>1712</v>
      </c>
      <c r="B714" t="str">
        <f>IF(TRIM(Raw_Data!B714)="","Unknown",PROPER(TRIM(Raw_Data!B714)))</f>
        <v>Tablet</v>
      </c>
      <c r="C714" t="str">
        <f>IF(TRIM(Raw_Data!C714)="","South",TRIM(Raw_Data!C714))</f>
        <v>South</v>
      </c>
      <c r="D714">
        <f>IF(TRIM(Raw_Data!D714)="",30435.80739,Raw_Data!D714)</f>
        <v>51613.61</v>
      </c>
      <c r="E714" t="str">
        <f>TEXT(Raw_Data!E714,"DD-MM-YYYY")</f>
        <v>14-02-2024</v>
      </c>
    </row>
    <row r="715" spans="1:5" x14ac:dyDescent="0.3">
      <c r="A715">
        <v>1713</v>
      </c>
      <c r="B715" t="str">
        <f>IF(TRIM(Raw_Data!B715)="","Unknown",PROPER(TRIM(Raw_Data!B715)))</f>
        <v>Keyboard</v>
      </c>
      <c r="C715" t="str">
        <f>IF(TRIM(Raw_Data!C715)="","South",TRIM(Raw_Data!C715))</f>
        <v>East</v>
      </c>
      <c r="D715">
        <f>IF(TRIM(Raw_Data!D715)="",30435.80739,Raw_Data!D715)</f>
        <v>14421.41</v>
      </c>
      <c r="E715" t="str">
        <f>TEXT(Raw_Data!E715,"DD-MM-YYYY")</f>
        <v>26-04-2024</v>
      </c>
    </row>
    <row r="716" spans="1:5" x14ac:dyDescent="0.3">
      <c r="A716">
        <v>1714</v>
      </c>
      <c r="B716" t="str">
        <f>IF(TRIM(Raw_Data!B716)="","Unknown",PROPER(TRIM(Raw_Data!B716)))</f>
        <v>Monitor</v>
      </c>
      <c r="C716" t="str">
        <f>IF(TRIM(Raw_Data!C716)="","South",TRIM(Raw_Data!C716))</f>
        <v>South</v>
      </c>
      <c r="D716">
        <f>IF(TRIM(Raw_Data!D716)="",30435.80739,Raw_Data!D716)</f>
        <v>53577.27</v>
      </c>
      <c r="E716" t="str">
        <f>TEXT(Raw_Data!E716,"DD-MM-YYYY")</f>
        <v>10-01-2024</v>
      </c>
    </row>
    <row r="717" spans="1:5" x14ac:dyDescent="0.3">
      <c r="A717">
        <v>1715</v>
      </c>
      <c r="B717" t="str">
        <f>IF(TRIM(Raw_Data!B717)="","Unknown",PROPER(TRIM(Raw_Data!B717)))</f>
        <v>Mouse</v>
      </c>
      <c r="C717" t="str">
        <f>IF(TRIM(Raw_Data!C717)="","South",TRIM(Raw_Data!C717))</f>
        <v>North</v>
      </c>
      <c r="D717">
        <f>IF(TRIM(Raw_Data!D717)="",30435.80739,Raw_Data!D717)</f>
        <v>11873.78</v>
      </c>
      <c r="E717" t="str">
        <f>TEXT(Raw_Data!E717,"DD-MM-YYYY")</f>
        <v>31-07-2024</v>
      </c>
    </row>
    <row r="718" spans="1:5" x14ac:dyDescent="0.3">
      <c r="A718">
        <v>1716</v>
      </c>
      <c r="B718" t="str">
        <f>IF(TRIM(Raw_Data!B718)="","Unknown",PROPER(TRIM(Raw_Data!B718)))</f>
        <v>Unknown</v>
      </c>
      <c r="C718" t="str">
        <f>IF(TRIM(Raw_Data!C718)="","South",TRIM(Raw_Data!C718))</f>
        <v>East</v>
      </c>
      <c r="D718">
        <f>IF(TRIM(Raw_Data!D718)="",30435.80739,Raw_Data!D718)</f>
        <v>56213.74</v>
      </c>
      <c r="E718" t="str">
        <f>TEXT(Raw_Data!E718,"DD-MM-YYYY")</f>
        <v>19-06-2024</v>
      </c>
    </row>
    <row r="719" spans="1:5" x14ac:dyDescent="0.3">
      <c r="A719">
        <v>1717</v>
      </c>
      <c r="B719" t="str">
        <f>IF(TRIM(Raw_Data!B719)="","Unknown",PROPER(TRIM(Raw_Data!B719)))</f>
        <v>Unknown</v>
      </c>
      <c r="C719" t="str">
        <f>IF(TRIM(Raw_Data!C719)="","South",TRIM(Raw_Data!C719))</f>
        <v>South</v>
      </c>
      <c r="D719">
        <f>IF(TRIM(Raw_Data!D719)="",30435.80739,Raw_Data!D719)</f>
        <v>26537.56</v>
      </c>
      <c r="E719" t="str">
        <f>TEXT(Raw_Data!E719,"DD-MM-YYYY")</f>
        <v>18-10-2024</v>
      </c>
    </row>
    <row r="720" spans="1:5" x14ac:dyDescent="0.3">
      <c r="A720">
        <v>1718</v>
      </c>
      <c r="B720" t="str">
        <f>IF(TRIM(Raw_Data!B720)="","Unknown",PROPER(TRIM(Raw_Data!B720)))</f>
        <v>Mouse</v>
      </c>
      <c r="C720" t="str">
        <f>IF(TRIM(Raw_Data!C720)="","South",TRIM(Raw_Data!C720))</f>
        <v>South</v>
      </c>
      <c r="D720">
        <f>IF(TRIM(Raw_Data!D720)="",30435.80739,Raw_Data!D720)</f>
        <v>55687.55</v>
      </c>
      <c r="E720" t="str">
        <f>TEXT(Raw_Data!E720,"DD-MM-YYYY")</f>
        <v>07-11-2024</v>
      </c>
    </row>
    <row r="721" spans="1:5" x14ac:dyDescent="0.3">
      <c r="A721">
        <v>1719</v>
      </c>
      <c r="B721" t="str">
        <f>IF(TRIM(Raw_Data!B721)="","Unknown",PROPER(TRIM(Raw_Data!B721)))</f>
        <v>Laptop</v>
      </c>
      <c r="C721" t="str">
        <f>IF(TRIM(Raw_Data!C721)="","South",TRIM(Raw_Data!C721))</f>
        <v>North</v>
      </c>
      <c r="D721">
        <f>IF(TRIM(Raw_Data!D721)="",30435.80739,Raw_Data!D721)</f>
        <v>20135.400000000001</v>
      </c>
      <c r="E721" t="str">
        <f>TEXT(Raw_Data!E721,"DD-MM-YYYY")</f>
        <v>26-02-2024</v>
      </c>
    </row>
    <row r="722" spans="1:5" x14ac:dyDescent="0.3">
      <c r="A722">
        <v>1720</v>
      </c>
      <c r="B722" t="str">
        <f>IF(TRIM(Raw_Data!B722)="","Unknown",PROPER(TRIM(Raw_Data!B722)))</f>
        <v>Monitor</v>
      </c>
      <c r="C722" t="str">
        <f>IF(TRIM(Raw_Data!C722)="","South",TRIM(Raw_Data!C722))</f>
        <v>West</v>
      </c>
      <c r="D722">
        <f>IF(TRIM(Raw_Data!D722)="",30435.80739,Raw_Data!D722)</f>
        <v>5871.76</v>
      </c>
      <c r="E722" t="str">
        <f>TEXT(Raw_Data!E722,"DD-MM-YYYY")</f>
        <v>18-11-2024</v>
      </c>
    </row>
    <row r="723" spans="1:5" x14ac:dyDescent="0.3">
      <c r="A723">
        <v>1721</v>
      </c>
      <c r="B723" t="str">
        <f>IF(TRIM(Raw_Data!B723)="","Unknown",PROPER(TRIM(Raw_Data!B723)))</f>
        <v>Keyboard</v>
      </c>
      <c r="C723" t="str">
        <f>IF(TRIM(Raw_Data!C723)="","South",TRIM(Raw_Data!C723))</f>
        <v>North</v>
      </c>
      <c r="D723">
        <f>IF(TRIM(Raw_Data!D723)="",30435.80739,Raw_Data!D723)</f>
        <v>28861.360000000001</v>
      </c>
      <c r="E723" t="str">
        <f>TEXT(Raw_Data!E723,"DD-MM-YYYY")</f>
        <v>16-07-2024</v>
      </c>
    </row>
    <row r="724" spans="1:5" x14ac:dyDescent="0.3">
      <c r="A724">
        <v>1722</v>
      </c>
      <c r="B724" t="str">
        <f>IF(TRIM(Raw_Data!B724)="","Unknown",PROPER(TRIM(Raw_Data!B724)))</f>
        <v>Unknown</v>
      </c>
      <c r="C724" t="str">
        <f>IF(TRIM(Raw_Data!C724)="","South",TRIM(Raw_Data!C724))</f>
        <v>West</v>
      </c>
      <c r="D724">
        <f>IF(TRIM(Raw_Data!D724)="",30435.80739,Raw_Data!D724)</f>
        <v>6388.22</v>
      </c>
      <c r="E724" t="str">
        <f>TEXT(Raw_Data!E724,"DD-MM-YYYY")</f>
        <v>09-07-2024</v>
      </c>
    </row>
    <row r="725" spans="1:5" x14ac:dyDescent="0.3">
      <c r="A725">
        <v>1723</v>
      </c>
      <c r="B725" t="str">
        <f>IF(TRIM(Raw_Data!B725)="","Unknown",PROPER(TRIM(Raw_Data!B725)))</f>
        <v>Unknown</v>
      </c>
      <c r="C725" t="str">
        <f>IF(TRIM(Raw_Data!C725)="","South",TRIM(Raw_Data!C725))</f>
        <v>East</v>
      </c>
      <c r="D725">
        <f>IF(TRIM(Raw_Data!D725)="",30435.80739,Raw_Data!D725)</f>
        <v>45173.21</v>
      </c>
      <c r="E725" t="str">
        <f>TEXT(Raw_Data!E725,"DD-MM-YYYY")</f>
        <v>20-11-2024</v>
      </c>
    </row>
    <row r="726" spans="1:5" x14ac:dyDescent="0.3">
      <c r="A726">
        <v>1724</v>
      </c>
      <c r="B726" t="str">
        <f>IF(TRIM(Raw_Data!B726)="","Unknown",PROPER(TRIM(Raw_Data!B726)))</f>
        <v>Laptop</v>
      </c>
      <c r="C726" t="str">
        <f>IF(TRIM(Raw_Data!C726)="","South",TRIM(Raw_Data!C726))</f>
        <v>West</v>
      </c>
      <c r="D726">
        <f>IF(TRIM(Raw_Data!D726)="",30435.80739,Raw_Data!D726)</f>
        <v>58669.94</v>
      </c>
      <c r="E726" t="str">
        <f>TEXT(Raw_Data!E726,"DD-MM-YYYY")</f>
        <v>15-07-2024</v>
      </c>
    </row>
    <row r="727" spans="1:5" x14ac:dyDescent="0.3">
      <c r="A727">
        <v>1725</v>
      </c>
      <c r="B727" t="str">
        <f>IF(TRIM(Raw_Data!B727)="","Unknown",PROPER(TRIM(Raw_Data!B727)))</f>
        <v>Mouse</v>
      </c>
      <c r="C727" t="str">
        <f>IF(TRIM(Raw_Data!C727)="","South",TRIM(Raw_Data!C727))</f>
        <v>North</v>
      </c>
      <c r="D727">
        <f>IF(TRIM(Raw_Data!D727)="",30435.80739,Raw_Data!D727)</f>
        <v>18429.900000000001</v>
      </c>
      <c r="E727" t="str">
        <f>TEXT(Raw_Data!E727,"DD-MM-YYYY")</f>
        <v>26-02-2024</v>
      </c>
    </row>
    <row r="728" spans="1:5" x14ac:dyDescent="0.3">
      <c r="A728">
        <v>1726</v>
      </c>
      <c r="B728" t="str">
        <f>IF(TRIM(Raw_Data!B728)="","Unknown",PROPER(TRIM(Raw_Data!B728)))</f>
        <v>Mouse</v>
      </c>
      <c r="C728" t="str">
        <f>IF(TRIM(Raw_Data!C728)="","South",TRIM(Raw_Data!C728))</f>
        <v>South</v>
      </c>
      <c r="D728">
        <f>IF(TRIM(Raw_Data!D728)="",30435.80739,Raw_Data!D728)</f>
        <v>2707.71</v>
      </c>
      <c r="E728" t="str">
        <f>TEXT(Raw_Data!E728,"DD-MM-YYYY")</f>
        <v>21-09-2024</v>
      </c>
    </row>
    <row r="729" spans="1:5" x14ac:dyDescent="0.3">
      <c r="A729">
        <v>1727</v>
      </c>
      <c r="B729" t="str">
        <f>IF(TRIM(Raw_Data!B729)="","Unknown",PROPER(TRIM(Raw_Data!B729)))</f>
        <v>Monitor</v>
      </c>
      <c r="C729" t="str">
        <f>IF(TRIM(Raw_Data!C729)="","South",TRIM(Raw_Data!C729))</f>
        <v>West</v>
      </c>
      <c r="D729">
        <f>IF(TRIM(Raw_Data!D729)="",30435.80739,Raw_Data!D729)</f>
        <v>15059.09</v>
      </c>
      <c r="E729" t="str">
        <f>TEXT(Raw_Data!E729,"DD-MM-YYYY")</f>
        <v>18-04-2024</v>
      </c>
    </row>
    <row r="730" spans="1:5" x14ac:dyDescent="0.3">
      <c r="A730">
        <v>1591</v>
      </c>
      <c r="B730" t="str">
        <f>IF(TRIM(Raw_Data!B730)="","Unknown",PROPER(TRIM(Raw_Data!B730)))</f>
        <v>Tablet</v>
      </c>
      <c r="C730" t="str">
        <f>IF(TRIM(Raw_Data!C730)="","South",TRIM(Raw_Data!C730))</f>
        <v>East</v>
      </c>
      <c r="D730">
        <f>IF(TRIM(Raw_Data!D730)="",30435.80739,Raw_Data!D730)</f>
        <v>58051.14</v>
      </c>
      <c r="E730" t="str">
        <f>TEXT(Raw_Data!E730,"DD-MM-YYYY")</f>
        <v>27-01-2024</v>
      </c>
    </row>
    <row r="731" spans="1:5" x14ac:dyDescent="0.3">
      <c r="A731">
        <v>1729</v>
      </c>
      <c r="B731" t="str">
        <f>IF(TRIM(Raw_Data!B731)="","Unknown",PROPER(TRIM(Raw_Data!B731)))</f>
        <v>Monitor</v>
      </c>
      <c r="C731" t="str">
        <f>IF(TRIM(Raw_Data!C731)="","South",TRIM(Raw_Data!C731))</f>
        <v>East</v>
      </c>
      <c r="D731">
        <f>IF(TRIM(Raw_Data!D731)="",30435.80739,Raw_Data!D731)</f>
        <v>39939.61</v>
      </c>
      <c r="E731" t="str">
        <f>TEXT(Raw_Data!E731,"DD-MM-YYYY")</f>
        <v>07-02-2024</v>
      </c>
    </row>
    <row r="732" spans="1:5" x14ac:dyDescent="0.3">
      <c r="A732">
        <v>1730</v>
      </c>
      <c r="B732" t="str">
        <f>IF(TRIM(Raw_Data!B732)="","Unknown",PROPER(TRIM(Raw_Data!B732)))</f>
        <v>Tablet</v>
      </c>
      <c r="C732" t="str">
        <f>IF(TRIM(Raw_Data!C732)="","South",TRIM(Raw_Data!C732))</f>
        <v>West</v>
      </c>
      <c r="D732">
        <f>IF(TRIM(Raw_Data!D732)="",30435.80739,Raw_Data!D732)</f>
        <v>33470.730000000003</v>
      </c>
      <c r="E732" t="str">
        <f>TEXT(Raw_Data!E732,"DD-MM-YYYY")</f>
        <v>07-08-2024</v>
      </c>
    </row>
    <row r="733" spans="1:5" x14ac:dyDescent="0.3">
      <c r="A733">
        <v>1731</v>
      </c>
      <c r="B733" t="str">
        <f>IF(TRIM(Raw_Data!B733)="","Unknown",PROPER(TRIM(Raw_Data!B733)))</f>
        <v>Tablet</v>
      </c>
      <c r="C733" t="str">
        <f>IF(TRIM(Raw_Data!C733)="","South",TRIM(Raw_Data!C733))</f>
        <v>East</v>
      </c>
      <c r="D733">
        <f>IF(TRIM(Raw_Data!D733)="",30435.80739,Raw_Data!D733)</f>
        <v>16739.55</v>
      </c>
      <c r="E733" t="str">
        <f>TEXT(Raw_Data!E733,"DD-MM-YYYY")</f>
        <v>30-10-2024</v>
      </c>
    </row>
    <row r="734" spans="1:5" x14ac:dyDescent="0.3">
      <c r="A734">
        <v>1732</v>
      </c>
      <c r="B734" t="str">
        <f>IF(TRIM(Raw_Data!B734)="","Unknown",PROPER(TRIM(Raw_Data!B734)))</f>
        <v>Laptop</v>
      </c>
      <c r="C734" t="str">
        <f>IF(TRIM(Raw_Data!C734)="","South",TRIM(Raw_Data!C734))</f>
        <v>North</v>
      </c>
      <c r="D734">
        <f>IF(TRIM(Raw_Data!D734)="",30435.80739,Raw_Data!D734)</f>
        <v>29970.17</v>
      </c>
      <c r="E734" t="str">
        <f>TEXT(Raw_Data!E734,"DD-MM-YYYY")</f>
        <v>12-05-2024</v>
      </c>
    </row>
    <row r="735" spans="1:5" x14ac:dyDescent="0.3">
      <c r="A735">
        <v>1733</v>
      </c>
      <c r="B735" t="str">
        <f>IF(TRIM(Raw_Data!B735)="","Unknown",PROPER(TRIM(Raw_Data!B735)))</f>
        <v>Mouse</v>
      </c>
      <c r="C735" t="str">
        <f>IF(TRIM(Raw_Data!C735)="","South",TRIM(Raw_Data!C735))</f>
        <v>South</v>
      </c>
      <c r="D735">
        <f>IF(TRIM(Raw_Data!D735)="",30435.80739,Raw_Data!D735)</f>
        <v>38820.47</v>
      </c>
      <c r="E735" t="str">
        <f>TEXT(Raw_Data!E735,"DD-MM-YYYY")</f>
        <v>17-01-2024</v>
      </c>
    </row>
    <row r="736" spans="1:5" x14ac:dyDescent="0.3">
      <c r="A736">
        <v>1734</v>
      </c>
      <c r="B736" t="str">
        <f>IF(TRIM(Raw_Data!B736)="","Unknown",PROPER(TRIM(Raw_Data!B736)))</f>
        <v>Keyboard</v>
      </c>
      <c r="C736" t="str">
        <f>IF(TRIM(Raw_Data!C736)="","South",TRIM(Raw_Data!C736))</f>
        <v>West</v>
      </c>
      <c r="D736">
        <f>IF(TRIM(Raw_Data!D736)="",30435.80739,Raw_Data!D736)</f>
        <v>40935.46</v>
      </c>
      <c r="E736" t="str">
        <f>TEXT(Raw_Data!E736,"DD-MM-YYYY")</f>
        <v>16-07-2024</v>
      </c>
    </row>
    <row r="737" spans="1:5" x14ac:dyDescent="0.3">
      <c r="A737">
        <v>1735</v>
      </c>
      <c r="B737" t="str">
        <f>IF(TRIM(Raw_Data!B737)="","Unknown",PROPER(TRIM(Raw_Data!B737)))</f>
        <v>Mouse</v>
      </c>
      <c r="C737" t="str">
        <f>IF(TRIM(Raw_Data!C737)="","South",TRIM(Raw_Data!C737))</f>
        <v>West</v>
      </c>
      <c r="D737">
        <f>IF(TRIM(Raw_Data!D737)="",30435.80739,Raw_Data!D737)</f>
        <v>25626.11</v>
      </c>
      <c r="E737" t="str">
        <f>TEXT(Raw_Data!E737,"DD-MM-YYYY")</f>
        <v>03-01-2024</v>
      </c>
    </row>
    <row r="738" spans="1:5" x14ac:dyDescent="0.3">
      <c r="A738">
        <v>1736</v>
      </c>
      <c r="B738" t="str">
        <f>IF(TRIM(Raw_Data!B738)="","Unknown",PROPER(TRIM(Raw_Data!B738)))</f>
        <v>Laptop</v>
      </c>
      <c r="C738" t="str">
        <f>IF(TRIM(Raw_Data!C738)="","South",TRIM(Raw_Data!C738))</f>
        <v>East</v>
      </c>
      <c r="D738">
        <f>IF(TRIM(Raw_Data!D738)="",30435.80739,Raw_Data!D738)</f>
        <v>37593.86</v>
      </c>
      <c r="E738" t="str">
        <f>TEXT(Raw_Data!E738,"DD-MM-YYYY")</f>
        <v>17-11-2024</v>
      </c>
    </row>
    <row r="739" spans="1:5" x14ac:dyDescent="0.3">
      <c r="A739">
        <v>1737</v>
      </c>
      <c r="B739" t="str">
        <f>IF(TRIM(Raw_Data!B739)="","Unknown",PROPER(TRIM(Raw_Data!B739)))</f>
        <v>Monitor</v>
      </c>
      <c r="C739" t="str">
        <f>IF(TRIM(Raw_Data!C739)="","South",TRIM(Raw_Data!C739))</f>
        <v>West</v>
      </c>
      <c r="D739">
        <f>IF(TRIM(Raw_Data!D739)="",30435.80739,Raw_Data!D739)</f>
        <v>42537.86</v>
      </c>
      <c r="E739" t="str">
        <f>TEXT(Raw_Data!E739,"DD-MM-YYYY")</f>
        <v>06-08-2024</v>
      </c>
    </row>
    <row r="740" spans="1:5" x14ac:dyDescent="0.3">
      <c r="A740">
        <v>1738</v>
      </c>
      <c r="B740" t="str">
        <f>IF(TRIM(Raw_Data!B740)="","Unknown",PROPER(TRIM(Raw_Data!B740)))</f>
        <v>Tablet</v>
      </c>
      <c r="C740" t="str">
        <f>IF(TRIM(Raw_Data!C740)="","South",TRIM(Raw_Data!C740))</f>
        <v>West</v>
      </c>
      <c r="D740">
        <f>IF(TRIM(Raw_Data!D740)="",30435.80739,Raw_Data!D740)</f>
        <v>18893.689999999999</v>
      </c>
      <c r="E740" t="str">
        <f>TEXT(Raw_Data!E740,"DD-MM-YYYY")</f>
        <v>24-06-2024</v>
      </c>
    </row>
    <row r="741" spans="1:5" x14ac:dyDescent="0.3">
      <c r="A741">
        <v>1739</v>
      </c>
      <c r="B741" t="str">
        <f>IF(TRIM(Raw_Data!B741)="","Unknown",PROPER(TRIM(Raw_Data!B741)))</f>
        <v>Monitor</v>
      </c>
      <c r="C741" t="str">
        <f>IF(TRIM(Raw_Data!C741)="","South",TRIM(Raw_Data!C741))</f>
        <v>East</v>
      </c>
      <c r="D741">
        <f>IF(TRIM(Raw_Data!D741)="",30435.80739,Raw_Data!D741)</f>
        <v>22220.86</v>
      </c>
      <c r="E741" t="str">
        <f>TEXT(Raw_Data!E741,"DD-MM-YYYY")</f>
        <v>29-09-2024</v>
      </c>
    </row>
    <row r="742" spans="1:5" x14ac:dyDescent="0.3">
      <c r="A742">
        <v>1740</v>
      </c>
      <c r="B742" t="str">
        <f>IF(TRIM(Raw_Data!B742)="","Unknown",PROPER(TRIM(Raw_Data!B742)))</f>
        <v>Mouse</v>
      </c>
      <c r="C742" t="str">
        <f>IF(TRIM(Raw_Data!C742)="","South",TRIM(Raw_Data!C742))</f>
        <v>North</v>
      </c>
      <c r="D742">
        <f>IF(TRIM(Raw_Data!D742)="",30435.80739,Raw_Data!D742)</f>
        <v>14324.54</v>
      </c>
      <c r="E742" t="str">
        <f>TEXT(Raw_Data!E742,"DD-MM-YYYY")</f>
        <v>13-12-2024</v>
      </c>
    </row>
    <row r="743" spans="1:5" x14ac:dyDescent="0.3">
      <c r="A743">
        <v>1741</v>
      </c>
      <c r="B743" t="str">
        <f>IF(TRIM(Raw_Data!B743)="","Unknown",PROPER(TRIM(Raw_Data!B743)))</f>
        <v>Mouse</v>
      </c>
      <c r="C743" t="str">
        <f>IF(TRIM(Raw_Data!C743)="","South",TRIM(Raw_Data!C743))</f>
        <v>North</v>
      </c>
      <c r="D743">
        <f>IF(TRIM(Raw_Data!D743)="",30435.80739,Raw_Data!D743)</f>
        <v>43894.09</v>
      </c>
      <c r="E743" t="str">
        <f>TEXT(Raw_Data!E743,"DD-MM-YYYY")</f>
        <v>24-03-2024</v>
      </c>
    </row>
    <row r="744" spans="1:5" x14ac:dyDescent="0.3">
      <c r="A744">
        <v>1742</v>
      </c>
      <c r="B744" t="str">
        <f>IF(TRIM(Raw_Data!B744)="","Unknown",PROPER(TRIM(Raw_Data!B744)))</f>
        <v>Laptop</v>
      </c>
      <c r="C744" t="str">
        <f>IF(TRIM(Raw_Data!C744)="","South",TRIM(Raw_Data!C744))</f>
        <v>West</v>
      </c>
      <c r="D744">
        <f>IF(TRIM(Raw_Data!D744)="",30435.80739,Raw_Data!D744)</f>
        <v>24410.57</v>
      </c>
      <c r="E744" t="str">
        <f>TEXT(Raw_Data!E744,"DD-MM-YYYY")</f>
        <v>01-12-2024</v>
      </c>
    </row>
    <row r="745" spans="1:5" x14ac:dyDescent="0.3">
      <c r="A745">
        <v>1743</v>
      </c>
      <c r="B745" t="str">
        <f>IF(TRIM(Raw_Data!B745)="","Unknown",PROPER(TRIM(Raw_Data!B745)))</f>
        <v>Mouse</v>
      </c>
      <c r="C745" t="str">
        <f>IF(TRIM(Raw_Data!C745)="","South",TRIM(Raw_Data!C745))</f>
        <v>North</v>
      </c>
      <c r="D745">
        <f>IF(TRIM(Raw_Data!D745)="",30435.80739,Raw_Data!D745)</f>
        <v>33265.99</v>
      </c>
      <c r="E745" t="str">
        <f>TEXT(Raw_Data!E745,"DD-MM-YYYY")</f>
        <v>25-04-2024</v>
      </c>
    </row>
    <row r="746" spans="1:5" x14ac:dyDescent="0.3">
      <c r="A746">
        <v>1744</v>
      </c>
      <c r="B746" t="str">
        <f>IF(TRIM(Raw_Data!B746)="","Unknown",PROPER(TRIM(Raw_Data!B746)))</f>
        <v>Monitor</v>
      </c>
      <c r="C746" t="str">
        <f>IF(TRIM(Raw_Data!C746)="","South",TRIM(Raw_Data!C746))</f>
        <v>West</v>
      </c>
      <c r="D746">
        <f>IF(TRIM(Raw_Data!D746)="",30435.80739,Raw_Data!D746)</f>
        <v>30743.84</v>
      </c>
      <c r="E746" t="str">
        <f>TEXT(Raw_Data!E746,"DD-MM-YYYY")</f>
        <v>13-08-2024</v>
      </c>
    </row>
    <row r="747" spans="1:5" x14ac:dyDescent="0.3">
      <c r="A747">
        <v>1745</v>
      </c>
      <c r="B747" t="str">
        <f>IF(TRIM(Raw_Data!B747)="","Unknown",PROPER(TRIM(Raw_Data!B747)))</f>
        <v>Mouse</v>
      </c>
      <c r="C747" t="str">
        <f>IF(TRIM(Raw_Data!C747)="","South",TRIM(Raw_Data!C747))</f>
        <v>South</v>
      </c>
      <c r="D747">
        <f>IF(TRIM(Raw_Data!D747)="",30435.80739,Raw_Data!D747)</f>
        <v>42749.61</v>
      </c>
      <c r="E747" t="str">
        <f>TEXT(Raw_Data!E747,"DD-MM-YYYY")</f>
        <v>31-03-2024</v>
      </c>
    </row>
    <row r="748" spans="1:5" x14ac:dyDescent="0.3">
      <c r="A748">
        <v>1746</v>
      </c>
      <c r="B748" t="str">
        <f>IF(TRIM(Raw_Data!B748)="","Unknown",PROPER(TRIM(Raw_Data!B748)))</f>
        <v>Keyboard</v>
      </c>
      <c r="C748" t="str">
        <f>IF(TRIM(Raw_Data!C748)="","South",TRIM(Raw_Data!C748))</f>
        <v>South</v>
      </c>
      <c r="D748">
        <f>IF(TRIM(Raw_Data!D748)="",30435.80739,Raw_Data!D748)</f>
        <v>30435.807390000002</v>
      </c>
      <c r="E748" t="str">
        <f>TEXT(Raw_Data!E748,"DD-MM-YYYY")</f>
        <v>12-03-2024</v>
      </c>
    </row>
    <row r="749" spans="1:5" x14ac:dyDescent="0.3">
      <c r="A749">
        <v>1747</v>
      </c>
      <c r="B749" t="str">
        <f>IF(TRIM(Raw_Data!B749)="","Unknown",PROPER(TRIM(Raw_Data!B749)))</f>
        <v>Laptop</v>
      </c>
      <c r="C749" t="str">
        <f>IF(TRIM(Raw_Data!C749)="","South",TRIM(Raw_Data!C749))</f>
        <v>South</v>
      </c>
      <c r="D749">
        <f>IF(TRIM(Raw_Data!D749)="",30435.80739,Raw_Data!D749)</f>
        <v>5805.39</v>
      </c>
      <c r="E749" t="str">
        <f>TEXT(Raw_Data!E749,"DD-MM-YYYY")</f>
        <v>30-08-2024</v>
      </c>
    </row>
    <row r="750" spans="1:5" x14ac:dyDescent="0.3">
      <c r="A750">
        <v>1748</v>
      </c>
      <c r="B750" t="str">
        <f>IF(TRIM(Raw_Data!B750)="","Unknown",PROPER(TRIM(Raw_Data!B750)))</f>
        <v>Keyboard</v>
      </c>
      <c r="C750" t="str">
        <f>IF(TRIM(Raw_Data!C750)="","South",TRIM(Raw_Data!C750))</f>
        <v>West</v>
      </c>
      <c r="D750">
        <f>IF(TRIM(Raw_Data!D750)="",30435.80739,Raw_Data!D750)</f>
        <v>10637.91</v>
      </c>
      <c r="E750" t="str">
        <f>TEXT(Raw_Data!E750,"DD-MM-YYYY")</f>
        <v>05-11-2024</v>
      </c>
    </row>
    <row r="751" spans="1:5" x14ac:dyDescent="0.3">
      <c r="A751">
        <v>1749</v>
      </c>
      <c r="B751" t="str">
        <f>IF(TRIM(Raw_Data!B751)="","Unknown",PROPER(TRIM(Raw_Data!B751)))</f>
        <v>Keyboard</v>
      </c>
      <c r="C751" t="str">
        <f>IF(TRIM(Raw_Data!C751)="","South",TRIM(Raw_Data!C751))</f>
        <v>West</v>
      </c>
      <c r="D751">
        <f>IF(TRIM(Raw_Data!D751)="",30435.80739,Raw_Data!D751)</f>
        <v>26704.65</v>
      </c>
      <c r="E751" t="str">
        <f>TEXT(Raw_Data!E751,"DD-MM-YYYY")</f>
        <v>18-08-2024</v>
      </c>
    </row>
    <row r="752" spans="1:5" x14ac:dyDescent="0.3">
      <c r="A752">
        <v>1750</v>
      </c>
      <c r="B752" t="str">
        <f>IF(TRIM(Raw_Data!B752)="","Unknown",PROPER(TRIM(Raw_Data!B752)))</f>
        <v>Tablet</v>
      </c>
      <c r="C752" t="str">
        <f>IF(TRIM(Raw_Data!C752)="","South",TRIM(Raw_Data!C752))</f>
        <v>South</v>
      </c>
      <c r="D752">
        <f>IF(TRIM(Raw_Data!D752)="",30435.80739,Raw_Data!D752)</f>
        <v>9004.0300000000007</v>
      </c>
      <c r="E752" t="str">
        <f>TEXT(Raw_Data!E752,"DD-MM-YYYY")</f>
        <v>22-02-2024</v>
      </c>
    </row>
    <row r="753" spans="1:5" x14ac:dyDescent="0.3">
      <c r="A753">
        <v>1751</v>
      </c>
      <c r="B753" t="str">
        <f>IF(TRIM(Raw_Data!B753)="","Unknown",PROPER(TRIM(Raw_Data!B753)))</f>
        <v>Keyboard</v>
      </c>
      <c r="C753" t="str">
        <f>IF(TRIM(Raw_Data!C753)="","South",TRIM(Raw_Data!C753))</f>
        <v>East</v>
      </c>
      <c r="D753">
        <f>IF(TRIM(Raw_Data!D753)="",30435.80739,Raw_Data!D753)</f>
        <v>30912.98</v>
      </c>
      <c r="E753" t="str">
        <f>TEXT(Raw_Data!E753,"DD-MM-YYYY")</f>
        <v>26-05-2024</v>
      </c>
    </row>
    <row r="754" spans="1:5" x14ac:dyDescent="0.3">
      <c r="A754">
        <v>1752</v>
      </c>
      <c r="B754" t="str">
        <f>IF(TRIM(Raw_Data!B754)="","Unknown",PROPER(TRIM(Raw_Data!B754)))</f>
        <v>Tablet</v>
      </c>
      <c r="C754" t="str">
        <f>IF(TRIM(Raw_Data!C754)="","South",TRIM(Raw_Data!C754))</f>
        <v>North</v>
      </c>
      <c r="D754">
        <f>IF(TRIM(Raw_Data!D754)="",30435.80739,Raw_Data!D754)</f>
        <v>17468.7</v>
      </c>
      <c r="E754" t="str">
        <f>TEXT(Raw_Data!E754,"DD-MM-YYYY")</f>
        <v>11-01-2024</v>
      </c>
    </row>
    <row r="755" spans="1:5" x14ac:dyDescent="0.3">
      <c r="A755">
        <v>1753</v>
      </c>
      <c r="B755" t="str">
        <f>IF(TRIM(Raw_Data!B755)="","Unknown",PROPER(TRIM(Raw_Data!B755)))</f>
        <v>Monitor</v>
      </c>
      <c r="C755" t="str">
        <f>IF(TRIM(Raw_Data!C755)="","South",TRIM(Raw_Data!C755))</f>
        <v>North</v>
      </c>
      <c r="D755">
        <f>IF(TRIM(Raw_Data!D755)="",30435.80739,Raw_Data!D755)</f>
        <v>58560.51</v>
      </c>
      <c r="E755" t="str">
        <f>TEXT(Raw_Data!E755,"DD-MM-YYYY")</f>
        <v>31-03-2024</v>
      </c>
    </row>
    <row r="756" spans="1:5" x14ac:dyDescent="0.3">
      <c r="A756">
        <v>1754</v>
      </c>
      <c r="B756" t="str">
        <f>IF(TRIM(Raw_Data!B756)="","Unknown",PROPER(TRIM(Raw_Data!B756)))</f>
        <v>Tablet</v>
      </c>
      <c r="C756" t="str">
        <f>IF(TRIM(Raw_Data!C756)="","South",TRIM(Raw_Data!C756))</f>
        <v>South</v>
      </c>
      <c r="D756">
        <f>IF(TRIM(Raw_Data!D756)="",30435.80739,Raw_Data!D756)</f>
        <v>16050.51</v>
      </c>
      <c r="E756" t="str">
        <f>TEXT(Raw_Data!E756,"DD-MM-YYYY")</f>
        <v>07-10-2024</v>
      </c>
    </row>
    <row r="757" spans="1:5" x14ac:dyDescent="0.3">
      <c r="A757">
        <v>1755</v>
      </c>
      <c r="B757" t="str">
        <f>IF(TRIM(Raw_Data!B757)="","Unknown",PROPER(TRIM(Raw_Data!B757)))</f>
        <v>Monitor</v>
      </c>
      <c r="C757" t="str">
        <f>IF(TRIM(Raw_Data!C757)="","South",TRIM(Raw_Data!C757))</f>
        <v>West</v>
      </c>
      <c r="D757">
        <f>IF(TRIM(Raw_Data!D757)="",30435.80739,Raw_Data!D757)</f>
        <v>49677.08</v>
      </c>
      <c r="E757" t="str">
        <f>TEXT(Raw_Data!E757,"DD-MM-YYYY")</f>
        <v>21-09-2024</v>
      </c>
    </row>
    <row r="758" spans="1:5" x14ac:dyDescent="0.3">
      <c r="A758">
        <v>1756</v>
      </c>
      <c r="B758" t="str">
        <f>IF(TRIM(Raw_Data!B758)="","Unknown",PROPER(TRIM(Raw_Data!B758)))</f>
        <v>Laptop</v>
      </c>
      <c r="C758" t="str">
        <f>IF(TRIM(Raw_Data!C758)="","South",TRIM(Raw_Data!C758))</f>
        <v>East</v>
      </c>
      <c r="D758">
        <f>IF(TRIM(Raw_Data!D758)="",30435.80739,Raw_Data!D758)</f>
        <v>4897.26</v>
      </c>
      <c r="E758" t="str">
        <f>TEXT(Raw_Data!E758,"DD-MM-YYYY")</f>
        <v>21-11-2024</v>
      </c>
    </row>
    <row r="759" spans="1:5" x14ac:dyDescent="0.3">
      <c r="A759">
        <v>1757</v>
      </c>
      <c r="B759" t="str">
        <f>IF(TRIM(Raw_Data!B759)="","Unknown",PROPER(TRIM(Raw_Data!B759)))</f>
        <v>Keyboard</v>
      </c>
      <c r="C759" t="str">
        <f>IF(TRIM(Raw_Data!C759)="","South",TRIM(Raw_Data!C759))</f>
        <v>South</v>
      </c>
      <c r="D759">
        <f>IF(TRIM(Raw_Data!D759)="",30435.80739,Raw_Data!D759)</f>
        <v>19108.93</v>
      </c>
      <c r="E759" t="str">
        <f>TEXT(Raw_Data!E759,"DD-MM-YYYY")</f>
        <v>26-01-2024</v>
      </c>
    </row>
    <row r="760" spans="1:5" x14ac:dyDescent="0.3">
      <c r="A760">
        <v>1758</v>
      </c>
      <c r="B760" t="str">
        <f>IF(TRIM(Raw_Data!B760)="","Unknown",PROPER(TRIM(Raw_Data!B760)))</f>
        <v>Unknown</v>
      </c>
      <c r="C760" t="str">
        <f>IF(TRIM(Raw_Data!C760)="","South",TRIM(Raw_Data!C760))</f>
        <v>West</v>
      </c>
      <c r="D760">
        <f>IF(TRIM(Raw_Data!D760)="",30435.80739,Raw_Data!D760)</f>
        <v>53559.1</v>
      </c>
      <c r="E760" t="str">
        <f>TEXT(Raw_Data!E760,"DD-MM-YYYY")</f>
        <v>26-07-2024</v>
      </c>
    </row>
    <row r="761" spans="1:5" x14ac:dyDescent="0.3">
      <c r="A761">
        <v>1759</v>
      </c>
      <c r="B761" t="str">
        <f>IF(TRIM(Raw_Data!B761)="","Unknown",PROPER(TRIM(Raw_Data!B761)))</f>
        <v>Mouse</v>
      </c>
      <c r="C761" t="str">
        <f>IF(TRIM(Raw_Data!C761)="","South",TRIM(Raw_Data!C761))</f>
        <v>East</v>
      </c>
      <c r="D761">
        <f>IF(TRIM(Raw_Data!D761)="",30435.80739,Raw_Data!D761)</f>
        <v>50491.519999999997</v>
      </c>
      <c r="E761" t="str">
        <f>TEXT(Raw_Data!E761,"DD-MM-YYYY")</f>
        <v>20-09-2024</v>
      </c>
    </row>
    <row r="762" spans="1:5" x14ac:dyDescent="0.3">
      <c r="A762">
        <v>1760</v>
      </c>
      <c r="B762" t="str">
        <f>IF(TRIM(Raw_Data!B762)="","Unknown",PROPER(TRIM(Raw_Data!B762)))</f>
        <v>Tablet</v>
      </c>
      <c r="C762" t="str">
        <f>IF(TRIM(Raw_Data!C762)="","South",TRIM(Raw_Data!C762))</f>
        <v>East</v>
      </c>
      <c r="D762">
        <f>IF(TRIM(Raw_Data!D762)="",30435.80739,Raw_Data!D762)</f>
        <v>30435.807390000002</v>
      </c>
      <c r="E762" t="str">
        <f>TEXT(Raw_Data!E762,"DD-MM-YYYY")</f>
        <v>04-09-2024</v>
      </c>
    </row>
    <row r="763" spans="1:5" x14ac:dyDescent="0.3">
      <c r="A763">
        <v>1761</v>
      </c>
      <c r="B763" t="str">
        <f>IF(TRIM(Raw_Data!B763)="","Unknown",PROPER(TRIM(Raw_Data!B763)))</f>
        <v>Monitor</v>
      </c>
      <c r="C763" t="str">
        <f>IF(TRIM(Raw_Data!C763)="","South",TRIM(Raw_Data!C763))</f>
        <v>West</v>
      </c>
      <c r="D763">
        <f>IF(TRIM(Raw_Data!D763)="",30435.80739,Raw_Data!D763)</f>
        <v>6389.84</v>
      </c>
      <c r="E763" t="str">
        <f>TEXT(Raw_Data!E763,"DD-MM-YYYY")</f>
        <v>02-06-2024</v>
      </c>
    </row>
    <row r="764" spans="1:5" x14ac:dyDescent="0.3">
      <c r="A764">
        <v>1762</v>
      </c>
      <c r="B764" t="str">
        <f>IF(TRIM(Raw_Data!B764)="","Unknown",PROPER(TRIM(Raw_Data!B764)))</f>
        <v>Monitor</v>
      </c>
      <c r="C764" t="str">
        <f>IF(TRIM(Raw_Data!C764)="","South",TRIM(Raw_Data!C764))</f>
        <v>East</v>
      </c>
      <c r="D764">
        <f>IF(TRIM(Raw_Data!D764)="",30435.80739,Raw_Data!D764)</f>
        <v>24398.84</v>
      </c>
      <c r="E764" t="str">
        <f>TEXT(Raw_Data!E764,"DD-MM-YYYY")</f>
        <v>02-04-2024</v>
      </c>
    </row>
    <row r="765" spans="1:5" x14ac:dyDescent="0.3">
      <c r="A765">
        <v>1763</v>
      </c>
      <c r="B765" t="str">
        <f>IF(TRIM(Raw_Data!B765)="","Unknown",PROPER(TRIM(Raw_Data!B765)))</f>
        <v>Laptop</v>
      </c>
      <c r="C765" t="str">
        <f>IF(TRIM(Raw_Data!C765)="","South",TRIM(Raw_Data!C765))</f>
        <v>East</v>
      </c>
      <c r="D765">
        <f>IF(TRIM(Raw_Data!D765)="",30435.80739,Raw_Data!D765)</f>
        <v>21627.25</v>
      </c>
      <c r="E765" t="str">
        <f>TEXT(Raw_Data!E765,"DD-MM-YYYY")</f>
        <v>31-03-2024</v>
      </c>
    </row>
    <row r="766" spans="1:5" x14ac:dyDescent="0.3">
      <c r="A766">
        <v>1764</v>
      </c>
      <c r="B766" t="str">
        <f>IF(TRIM(Raw_Data!B766)="","Unknown",PROPER(TRIM(Raw_Data!B766)))</f>
        <v>Tablet</v>
      </c>
      <c r="C766" t="str">
        <f>IF(TRIM(Raw_Data!C766)="","South",TRIM(Raw_Data!C766))</f>
        <v>South</v>
      </c>
      <c r="D766">
        <f>IF(TRIM(Raw_Data!D766)="",30435.80739,Raw_Data!D766)</f>
        <v>44759.360000000001</v>
      </c>
      <c r="E766" t="str">
        <f>TEXT(Raw_Data!E766,"DD-MM-YYYY")</f>
        <v>11-02-2024</v>
      </c>
    </row>
    <row r="767" spans="1:5" x14ac:dyDescent="0.3">
      <c r="A767">
        <v>1765</v>
      </c>
      <c r="B767" t="str">
        <f>IF(TRIM(Raw_Data!B767)="","Unknown",PROPER(TRIM(Raw_Data!B767)))</f>
        <v>Monitor</v>
      </c>
      <c r="C767" t="str">
        <f>IF(TRIM(Raw_Data!C767)="","South",TRIM(Raw_Data!C767))</f>
        <v>South</v>
      </c>
      <c r="D767">
        <f>IF(TRIM(Raw_Data!D767)="",30435.80739,Raw_Data!D767)</f>
        <v>51657.41</v>
      </c>
      <c r="E767" t="str">
        <f>TEXT(Raw_Data!E767,"DD-MM-YYYY")</f>
        <v>08-05-2024</v>
      </c>
    </row>
    <row r="768" spans="1:5" x14ac:dyDescent="0.3">
      <c r="A768">
        <v>1766</v>
      </c>
      <c r="B768" t="str">
        <f>IF(TRIM(Raw_Data!B768)="","Unknown",PROPER(TRIM(Raw_Data!B768)))</f>
        <v>Mouse</v>
      </c>
      <c r="C768" t="str">
        <f>IF(TRIM(Raw_Data!C768)="","South",TRIM(Raw_Data!C768))</f>
        <v>North</v>
      </c>
      <c r="D768">
        <f>IF(TRIM(Raw_Data!D768)="",30435.80739,Raw_Data!D768)</f>
        <v>20017.16</v>
      </c>
      <c r="E768" t="str">
        <f>TEXT(Raw_Data!E768,"DD-MM-YYYY")</f>
        <v>22-02-2024</v>
      </c>
    </row>
    <row r="769" spans="1:5" x14ac:dyDescent="0.3">
      <c r="A769">
        <v>1767</v>
      </c>
      <c r="B769" t="str">
        <f>IF(TRIM(Raw_Data!B769)="","Unknown",PROPER(TRIM(Raw_Data!B769)))</f>
        <v>Laptop</v>
      </c>
      <c r="C769" t="str">
        <f>IF(TRIM(Raw_Data!C769)="","South",TRIM(Raw_Data!C769))</f>
        <v>East</v>
      </c>
      <c r="D769">
        <f>IF(TRIM(Raw_Data!D769)="",30435.80739,Raw_Data!D769)</f>
        <v>17881.97</v>
      </c>
      <c r="E769" t="str">
        <f>TEXT(Raw_Data!E769,"DD-MM-YYYY")</f>
        <v>05-03-2024</v>
      </c>
    </row>
    <row r="770" spans="1:5" x14ac:dyDescent="0.3">
      <c r="A770">
        <v>1768</v>
      </c>
      <c r="B770" t="str">
        <f>IF(TRIM(Raw_Data!B770)="","Unknown",PROPER(TRIM(Raw_Data!B770)))</f>
        <v>Unknown</v>
      </c>
      <c r="C770" t="str">
        <f>IF(TRIM(Raw_Data!C770)="","South",TRIM(Raw_Data!C770))</f>
        <v>South</v>
      </c>
      <c r="D770">
        <f>IF(TRIM(Raw_Data!D770)="",30435.80739,Raw_Data!D770)</f>
        <v>47546.69</v>
      </c>
      <c r="E770" t="str">
        <f>TEXT(Raw_Data!E770,"DD-MM-YYYY")</f>
        <v>06-11-2024</v>
      </c>
    </row>
    <row r="771" spans="1:5" x14ac:dyDescent="0.3">
      <c r="A771">
        <v>1769</v>
      </c>
      <c r="B771" t="str">
        <f>IF(TRIM(Raw_Data!B771)="","Unknown",PROPER(TRIM(Raw_Data!B771)))</f>
        <v>Monitor</v>
      </c>
      <c r="C771" t="str">
        <f>IF(TRIM(Raw_Data!C771)="","South",TRIM(Raw_Data!C771))</f>
        <v>West</v>
      </c>
      <c r="D771">
        <f>IF(TRIM(Raw_Data!D771)="",30435.80739,Raw_Data!D771)</f>
        <v>9510.16</v>
      </c>
      <c r="E771" t="str">
        <f>TEXT(Raw_Data!E771,"DD-MM-YYYY")</f>
        <v>04-02-2024</v>
      </c>
    </row>
    <row r="772" spans="1:5" x14ac:dyDescent="0.3">
      <c r="A772">
        <v>1770</v>
      </c>
      <c r="B772" t="str">
        <f>IF(TRIM(Raw_Data!B772)="","Unknown",PROPER(TRIM(Raw_Data!B772)))</f>
        <v>Laptop</v>
      </c>
      <c r="C772" t="str">
        <f>IF(TRIM(Raw_Data!C772)="","South",TRIM(Raw_Data!C772))</f>
        <v>North</v>
      </c>
      <c r="D772">
        <f>IF(TRIM(Raw_Data!D772)="",30435.80739,Raw_Data!D772)</f>
        <v>34861.82</v>
      </c>
      <c r="E772" t="str">
        <f>TEXT(Raw_Data!E772,"DD-MM-YYYY")</f>
        <v>23-09-2024</v>
      </c>
    </row>
    <row r="773" spans="1:5" x14ac:dyDescent="0.3">
      <c r="A773">
        <v>1771</v>
      </c>
      <c r="B773" t="str">
        <f>IF(TRIM(Raw_Data!B773)="","Unknown",PROPER(TRIM(Raw_Data!B773)))</f>
        <v>Monitor</v>
      </c>
      <c r="C773" t="str">
        <f>IF(TRIM(Raw_Data!C773)="","South",TRIM(Raw_Data!C773))</f>
        <v>South</v>
      </c>
      <c r="D773">
        <f>IF(TRIM(Raw_Data!D773)="",30435.80739,Raw_Data!D773)</f>
        <v>30435.807390000002</v>
      </c>
      <c r="E773" t="str">
        <f>TEXT(Raw_Data!E773,"DD-MM-YYYY")</f>
        <v>12-04-2024</v>
      </c>
    </row>
    <row r="774" spans="1:5" x14ac:dyDescent="0.3">
      <c r="A774">
        <v>1772</v>
      </c>
      <c r="B774" t="str">
        <f>IF(TRIM(Raw_Data!B774)="","Unknown",PROPER(TRIM(Raw_Data!B774)))</f>
        <v>Laptop</v>
      </c>
      <c r="C774" t="str">
        <f>IF(TRIM(Raw_Data!C774)="","South",TRIM(Raw_Data!C774))</f>
        <v>South</v>
      </c>
      <c r="D774">
        <f>IF(TRIM(Raw_Data!D774)="",30435.80739,Raw_Data!D774)</f>
        <v>12603.37</v>
      </c>
      <c r="E774" t="str">
        <f>TEXT(Raw_Data!E774,"DD-MM-YYYY")</f>
        <v>24-06-2024</v>
      </c>
    </row>
    <row r="775" spans="1:5" x14ac:dyDescent="0.3">
      <c r="A775">
        <v>1773</v>
      </c>
      <c r="B775" t="str">
        <f>IF(TRIM(Raw_Data!B775)="","Unknown",PROPER(TRIM(Raw_Data!B775)))</f>
        <v>Keyboard</v>
      </c>
      <c r="C775" t="str">
        <f>IF(TRIM(Raw_Data!C775)="","South",TRIM(Raw_Data!C775))</f>
        <v>East</v>
      </c>
      <c r="D775">
        <f>IF(TRIM(Raw_Data!D775)="",30435.80739,Raw_Data!D775)</f>
        <v>40932.379999999997</v>
      </c>
      <c r="E775" t="str">
        <f>TEXT(Raw_Data!E775,"DD-MM-YYYY")</f>
        <v>01-01-2024</v>
      </c>
    </row>
    <row r="776" spans="1:5" x14ac:dyDescent="0.3">
      <c r="A776">
        <v>1774</v>
      </c>
      <c r="B776" t="str">
        <f>IF(TRIM(Raw_Data!B776)="","Unknown",PROPER(TRIM(Raw_Data!B776)))</f>
        <v>Monitor</v>
      </c>
      <c r="C776" t="str">
        <f>IF(TRIM(Raw_Data!C776)="","South",TRIM(Raw_Data!C776))</f>
        <v>South</v>
      </c>
      <c r="D776">
        <f>IF(TRIM(Raw_Data!D776)="",30435.80739,Raw_Data!D776)</f>
        <v>31282.37</v>
      </c>
      <c r="E776" t="str">
        <f>TEXT(Raw_Data!E776,"DD-MM-YYYY")</f>
        <v>20-11-2024</v>
      </c>
    </row>
    <row r="777" spans="1:5" x14ac:dyDescent="0.3">
      <c r="A777">
        <v>1775</v>
      </c>
      <c r="B777" t="str">
        <f>IF(TRIM(Raw_Data!B777)="","Unknown",PROPER(TRIM(Raw_Data!B777)))</f>
        <v>Keyboard</v>
      </c>
      <c r="C777" t="str">
        <f>IF(TRIM(Raw_Data!C777)="","South",TRIM(Raw_Data!C777))</f>
        <v>East</v>
      </c>
      <c r="D777">
        <f>IF(TRIM(Raw_Data!D777)="",30435.80739,Raw_Data!D777)</f>
        <v>10844.07</v>
      </c>
      <c r="E777" t="str">
        <f>TEXT(Raw_Data!E777,"DD-MM-YYYY")</f>
        <v>18-10-2024</v>
      </c>
    </row>
    <row r="778" spans="1:5" x14ac:dyDescent="0.3">
      <c r="A778">
        <v>1776</v>
      </c>
      <c r="B778" t="str">
        <f>IF(TRIM(Raw_Data!B778)="","Unknown",PROPER(TRIM(Raw_Data!B778)))</f>
        <v>Tablet</v>
      </c>
      <c r="C778" t="str">
        <f>IF(TRIM(Raw_Data!C778)="","South",TRIM(Raw_Data!C778))</f>
        <v>West</v>
      </c>
      <c r="D778">
        <f>IF(TRIM(Raw_Data!D778)="",30435.80739,Raw_Data!D778)</f>
        <v>13879.88</v>
      </c>
      <c r="E778" t="str">
        <f>TEXT(Raw_Data!E778,"DD-MM-YYYY")</f>
        <v>26-10-2024</v>
      </c>
    </row>
    <row r="779" spans="1:5" x14ac:dyDescent="0.3">
      <c r="A779">
        <v>1777</v>
      </c>
      <c r="B779" t="str">
        <f>IF(TRIM(Raw_Data!B779)="","Unknown",PROPER(TRIM(Raw_Data!B779)))</f>
        <v>Tablet</v>
      </c>
      <c r="C779" t="str">
        <f>IF(TRIM(Raw_Data!C779)="","South",TRIM(Raw_Data!C779))</f>
        <v>West</v>
      </c>
      <c r="D779">
        <f>IF(TRIM(Raw_Data!D779)="",30435.80739,Raw_Data!D779)</f>
        <v>50111.07</v>
      </c>
      <c r="E779" t="str">
        <f>TEXT(Raw_Data!E779,"DD-MM-YYYY")</f>
        <v>18-02-2024</v>
      </c>
    </row>
    <row r="780" spans="1:5" x14ac:dyDescent="0.3">
      <c r="A780">
        <v>1778</v>
      </c>
      <c r="B780" t="str">
        <f>IF(TRIM(Raw_Data!B780)="","Unknown",PROPER(TRIM(Raw_Data!B780)))</f>
        <v>Keyboard</v>
      </c>
      <c r="C780" t="str">
        <f>IF(TRIM(Raw_Data!C780)="","South",TRIM(Raw_Data!C780))</f>
        <v>North</v>
      </c>
      <c r="D780">
        <f>IF(TRIM(Raw_Data!D780)="",30435.80739,Raw_Data!D780)</f>
        <v>41514.04</v>
      </c>
      <c r="E780" t="str">
        <f>TEXT(Raw_Data!E780,"DD-MM-YYYY")</f>
        <v>02-01-2024</v>
      </c>
    </row>
    <row r="781" spans="1:5" x14ac:dyDescent="0.3">
      <c r="A781">
        <v>1779</v>
      </c>
      <c r="B781" t="str">
        <f>IF(TRIM(Raw_Data!B781)="","Unknown",PROPER(TRIM(Raw_Data!B781)))</f>
        <v>Monitor</v>
      </c>
      <c r="C781" t="str">
        <f>IF(TRIM(Raw_Data!C781)="","South",TRIM(Raw_Data!C781))</f>
        <v>East</v>
      </c>
      <c r="D781">
        <f>IF(TRIM(Raw_Data!D781)="",30435.80739,Raw_Data!D781)</f>
        <v>26378.42</v>
      </c>
      <c r="E781" t="str">
        <f>TEXT(Raw_Data!E781,"DD-MM-YYYY")</f>
        <v>03-09-2024</v>
      </c>
    </row>
    <row r="782" spans="1:5" x14ac:dyDescent="0.3">
      <c r="A782">
        <v>1780</v>
      </c>
      <c r="B782" t="str">
        <f>IF(TRIM(Raw_Data!B782)="","Unknown",PROPER(TRIM(Raw_Data!B782)))</f>
        <v>Mouse</v>
      </c>
      <c r="C782" t="str">
        <f>IF(TRIM(Raw_Data!C782)="","South",TRIM(Raw_Data!C782))</f>
        <v>East</v>
      </c>
      <c r="D782">
        <f>IF(TRIM(Raw_Data!D782)="",30435.80739,Raw_Data!D782)</f>
        <v>57217.23</v>
      </c>
      <c r="E782" t="str">
        <f>TEXT(Raw_Data!E782,"DD-MM-YYYY")</f>
        <v>27-12-2024</v>
      </c>
    </row>
    <row r="783" spans="1:5" x14ac:dyDescent="0.3">
      <c r="A783">
        <v>1781</v>
      </c>
      <c r="B783" t="str">
        <f>IF(TRIM(Raw_Data!B783)="","Unknown",PROPER(TRIM(Raw_Data!B783)))</f>
        <v>Tablet</v>
      </c>
      <c r="C783" t="str">
        <f>IF(TRIM(Raw_Data!C783)="","South",TRIM(Raw_Data!C783))</f>
        <v>East</v>
      </c>
      <c r="D783">
        <f>IF(TRIM(Raw_Data!D783)="",30435.80739,Raw_Data!D783)</f>
        <v>43542.22</v>
      </c>
      <c r="E783" t="str">
        <f>TEXT(Raw_Data!E783,"DD-MM-YYYY")</f>
        <v>22-05-2024</v>
      </c>
    </row>
    <row r="784" spans="1:5" x14ac:dyDescent="0.3">
      <c r="A784">
        <v>1782</v>
      </c>
      <c r="B784" t="str">
        <f>IF(TRIM(Raw_Data!B784)="","Unknown",PROPER(TRIM(Raw_Data!B784)))</f>
        <v>Laptop</v>
      </c>
      <c r="C784" t="str">
        <f>IF(TRIM(Raw_Data!C784)="","South",TRIM(Raw_Data!C784))</f>
        <v>North</v>
      </c>
      <c r="D784">
        <f>IF(TRIM(Raw_Data!D784)="",30435.80739,Raw_Data!D784)</f>
        <v>53990.64</v>
      </c>
      <c r="E784" t="str">
        <f>TEXT(Raw_Data!E784,"DD-MM-YYYY")</f>
        <v>15-03-2024</v>
      </c>
    </row>
    <row r="785" spans="1:5" x14ac:dyDescent="0.3">
      <c r="A785">
        <v>1783</v>
      </c>
      <c r="B785" t="str">
        <f>IF(TRIM(Raw_Data!B785)="","Unknown",PROPER(TRIM(Raw_Data!B785)))</f>
        <v>Keyboard</v>
      </c>
      <c r="C785" t="str">
        <f>IF(TRIM(Raw_Data!C785)="","South",TRIM(Raw_Data!C785))</f>
        <v>South</v>
      </c>
      <c r="D785">
        <f>IF(TRIM(Raw_Data!D785)="",30435.80739,Raw_Data!D785)</f>
        <v>16908.169999999998</v>
      </c>
      <c r="E785" t="str">
        <f>TEXT(Raw_Data!E785,"DD-MM-YYYY")</f>
        <v>27-02-2024</v>
      </c>
    </row>
    <row r="786" spans="1:5" x14ac:dyDescent="0.3">
      <c r="A786">
        <v>1784</v>
      </c>
      <c r="B786" t="str">
        <f>IF(TRIM(Raw_Data!B786)="","Unknown",PROPER(TRIM(Raw_Data!B786)))</f>
        <v>Laptop</v>
      </c>
      <c r="C786" t="str">
        <f>IF(TRIM(Raw_Data!C786)="","South",TRIM(Raw_Data!C786))</f>
        <v>West</v>
      </c>
      <c r="D786">
        <f>IF(TRIM(Raw_Data!D786)="",30435.80739,Raw_Data!D786)</f>
        <v>14971.06</v>
      </c>
      <c r="E786" t="str">
        <f>TEXT(Raw_Data!E786,"DD-MM-YYYY")</f>
        <v>08-01-2024</v>
      </c>
    </row>
    <row r="787" spans="1:5" x14ac:dyDescent="0.3">
      <c r="A787">
        <v>1785</v>
      </c>
      <c r="B787" t="str">
        <f>IF(TRIM(Raw_Data!B787)="","Unknown",PROPER(TRIM(Raw_Data!B787)))</f>
        <v>Laptop</v>
      </c>
      <c r="C787" t="str">
        <f>IF(TRIM(Raw_Data!C787)="","South",TRIM(Raw_Data!C787))</f>
        <v>South</v>
      </c>
      <c r="D787">
        <f>IF(TRIM(Raw_Data!D787)="",30435.80739,Raw_Data!D787)</f>
        <v>18665.96</v>
      </c>
      <c r="E787" t="str">
        <f>TEXT(Raw_Data!E787,"DD-MM-YYYY")</f>
        <v>30-01-2024</v>
      </c>
    </row>
    <row r="788" spans="1:5" x14ac:dyDescent="0.3">
      <c r="A788">
        <v>1786</v>
      </c>
      <c r="B788" t="str">
        <f>IF(TRIM(Raw_Data!B788)="","Unknown",PROPER(TRIM(Raw_Data!B788)))</f>
        <v>Mouse</v>
      </c>
      <c r="C788" t="str">
        <f>IF(TRIM(Raw_Data!C788)="","South",TRIM(Raw_Data!C788))</f>
        <v>West</v>
      </c>
      <c r="D788">
        <f>IF(TRIM(Raw_Data!D788)="",30435.80739,Raw_Data!D788)</f>
        <v>24566.5</v>
      </c>
      <c r="E788" t="str">
        <f>TEXT(Raw_Data!E788,"DD-MM-YYYY")</f>
        <v>03-01-2024</v>
      </c>
    </row>
    <row r="789" spans="1:5" x14ac:dyDescent="0.3">
      <c r="A789">
        <v>1787</v>
      </c>
      <c r="B789" t="str">
        <f>IF(TRIM(Raw_Data!B789)="","Unknown",PROPER(TRIM(Raw_Data!B789)))</f>
        <v>Keyboard</v>
      </c>
      <c r="C789" t="str">
        <f>IF(TRIM(Raw_Data!C789)="","South",TRIM(Raw_Data!C789))</f>
        <v>North</v>
      </c>
      <c r="D789">
        <f>IF(TRIM(Raw_Data!D789)="",30435.80739,Raw_Data!D789)</f>
        <v>5134.05</v>
      </c>
      <c r="E789" t="str">
        <f>TEXT(Raw_Data!E789,"DD-MM-YYYY")</f>
        <v>23-10-2024</v>
      </c>
    </row>
    <row r="790" spans="1:5" x14ac:dyDescent="0.3">
      <c r="A790">
        <v>1788</v>
      </c>
      <c r="B790" t="str">
        <f>IF(TRIM(Raw_Data!B790)="","Unknown",PROPER(TRIM(Raw_Data!B790)))</f>
        <v>Laptop</v>
      </c>
      <c r="C790" t="str">
        <f>IF(TRIM(Raw_Data!C790)="","South",TRIM(Raw_Data!C790))</f>
        <v>North</v>
      </c>
      <c r="D790">
        <f>IF(TRIM(Raw_Data!D790)="",30435.80739,Raw_Data!D790)</f>
        <v>4727.8</v>
      </c>
      <c r="E790" t="str">
        <f>TEXT(Raw_Data!E790,"DD-MM-YYYY")</f>
        <v>25-11-2024</v>
      </c>
    </row>
    <row r="791" spans="1:5" x14ac:dyDescent="0.3">
      <c r="A791">
        <v>1789</v>
      </c>
      <c r="B791" t="str">
        <f>IF(TRIM(Raw_Data!B791)="","Unknown",PROPER(TRIM(Raw_Data!B791)))</f>
        <v>Monitor</v>
      </c>
      <c r="C791" t="str">
        <f>IF(TRIM(Raw_Data!C791)="","South",TRIM(Raw_Data!C791))</f>
        <v>North</v>
      </c>
      <c r="D791">
        <f>IF(TRIM(Raw_Data!D791)="",30435.80739,Raw_Data!D791)</f>
        <v>32553.17</v>
      </c>
      <c r="E791" t="str">
        <f>TEXT(Raw_Data!E791,"DD-MM-YYYY")</f>
        <v>03-01-2024</v>
      </c>
    </row>
    <row r="792" spans="1:5" x14ac:dyDescent="0.3">
      <c r="A792">
        <v>1790</v>
      </c>
      <c r="B792" t="str">
        <f>IF(TRIM(Raw_Data!B792)="","Unknown",PROPER(TRIM(Raw_Data!B792)))</f>
        <v>Laptop</v>
      </c>
      <c r="C792" t="str">
        <f>IF(TRIM(Raw_Data!C792)="","South",TRIM(Raw_Data!C792))</f>
        <v>East</v>
      </c>
      <c r="D792">
        <f>IF(TRIM(Raw_Data!D792)="",30435.80739,Raw_Data!D792)</f>
        <v>25245.61</v>
      </c>
      <c r="E792" t="str">
        <f>TEXT(Raw_Data!E792,"DD-MM-YYYY")</f>
        <v>11-01-2024</v>
      </c>
    </row>
    <row r="793" spans="1:5" x14ac:dyDescent="0.3">
      <c r="A793">
        <v>1791</v>
      </c>
      <c r="B793" t="str">
        <f>IF(TRIM(Raw_Data!B793)="","Unknown",PROPER(TRIM(Raw_Data!B793)))</f>
        <v>Monitor</v>
      </c>
      <c r="C793" t="str">
        <f>IF(TRIM(Raw_Data!C793)="","South",TRIM(Raw_Data!C793))</f>
        <v>South</v>
      </c>
      <c r="D793">
        <f>IF(TRIM(Raw_Data!D793)="",30435.80739,Raw_Data!D793)</f>
        <v>14952.02</v>
      </c>
      <c r="E793" t="str">
        <f>TEXT(Raw_Data!E793,"DD-MM-YYYY")</f>
        <v>23-04-2024</v>
      </c>
    </row>
    <row r="794" spans="1:5" x14ac:dyDescent="0.3">
      <c r="A794">
        <v>1792</v>
      </c>
      <c r="B794" t="str">
        <f>IF(TRIM(Raw_Data!B794)="","Unknown",PROPER(TRIM(Raw_Data!B794)))</f>
        <v>Monitor</v>
      </c>
      <c r="C794" t="str">
        <f>IF(TRIM(Raw_Data!C794)="","South",TRIM(Raw_Data!C794))</f>
        <v>West</v>
      </c>
      <c r="D794">
        <f>IF(TRIM(Raw_Data!D794)="",30435.80739,Raw_Data!D794)</f>
        <v>43324.99</v>
      </c>
      <c r="E794" t="str">
        <f>TEXT(Raw_Data!E794,"DD-MM-YYYY")</f>
        <v>01-10-2024</v>
      </c>
    </row>
    <row r="795" spans="1:5" x14ac:dyDescent="0.3">
      <c r="A795">
        <v>1793</v>
      </c>
      <c r="B795" t="str">
        <f>IF(TRIM(Raw_Data!B795)="","Unknown",PROPER(TRIM(Raw_Data!B795)))</f>
        <v>Unknown</v>
      </c>
      <c r="C795" t="str">
        <f>IF(TRIM(Raw_Data!C795)="","South",TRIM(Raw_Data!C795))</f>
        <v>South</v>
      </c>
      <c r="D795">
        <f>IF(TRIM(Raw_Data!D795)="",30435.80739,Raw_Data!D795)</f>
        <v>27868.3</v>
      </c>
      <c r="E795" t="str">
        <f>TEXT(Raw_Data!E795,"DD-MM-YYYY")</f>
        <v>18-06-2024</v>
      </c>
    </row>
    <row r="796" spans="1:5" x14ac:dyDescent="0.3">
      <c r="A796">
        <v>1794</v>
      </c>
      <c r="B796" t="str">
        <f>IF(TRIM(Raw_Data!B796)="","Unknown",PROPER(TRIM(Raw_Data!B796)))</f>
        <v>Laptop</v>
      </c>
      <c r="C796" t="str">
        <f>IF(TRIM(Raw_Data!C796)="","South",TRIM(Raw_Data!C796))</f>
        <v>South</v>
      </c>
      <c r="D796">
        <f>IF(TRIM(Raw_Data!D796)="",30435.80739,Raw_Data!D796)</f>
        <v>23591.279999999999</v>
      </c>
      <c r="E796" t="str">
        <f>TEXT(Raw_Data!E796,"DD-MM-YYYY")</f>
        <v>17-12-2024</v>
      </c>
    </row>
    <row r="797" spans="1:5" x14ac:dyDescent="0.3">
      <c r="A797">
        <v>1795</v>
      </c>
      <c r="B797" t="str">
        <f>IF(TRIM(Raw_Data!B797)="","Unknown",PROPER(TRIM(Raw_Data!B797)))</f>
        <v>Tablet</v>
      </c>
      <c r="C797" t="str">
        <f>IF(TRIM(Raw_Data!C797)="","South",TRIM(Raw_Data!C797))</f>
        <v>East</v>
      </c>
      <c r="D797">
        <f>IF(TRIM(Raw_Data!D797)="",30435.80739,Raw_Data!D797)</f>
        <v>16239.73</v>
      </c>
      <c r="E797" t="str">
        <f>TEXT(Raw_Data!E797,"DD-MM-YYYY")</f>
        <v>25-09-2024</v>
      </c>
    </row>
    <row r="798" spans="1:5" x14ac:dyDescent="0.3">
      <c r="A798">
        <v>1796</v>
      </c>
      <c r="B798" t="str">
        <f>IF(TRIM(Raw_Data!B798)="","Unknown",PROPER(TRIM(Raw_Data!B798)))</f>
        <v>Monitor</v>
      </c>
      <c r="C798" t="str">
        <f>IF(TRIM(Raw_Data!C798)="","South",TRIM(Raw_Data!C798))</f>
        <v>East</v>
      </c>
      <c r="D798">
        <f>IF(TRIM(Raw_Data!D798)="",30435.80739,Raw_Data!D798)</f>
        <v>54791.94</v>
      </c>
      <c r="E798" t="str">
        <f>TEXT(Raw_Data!E798,"DD-MM-YYYY")</f>
        <v>23-07-2024</v>
      </c>
    </row>
    <row r="799" spans="1:5" x14ac:dyDescent="0.3">
      <c r="A799">
        <v>1797</v>
      </c>
      <c r="B799" t="str">
        <f>IF(TRIM(Raw_Data!B799)="","Unknown",PROPER(TRIM(Raw_Data!B799)))</f>
        <v>Mouse</v>
      </c>
      <c r="C799" t="str">
        <f>IF(TRIM(Raw_Data!C799)="","South",TRIM(Raw_Data!C799))</f>
        <v>South</v>
      </c>
      <c r="D799">
        <f>IF(TRIM(Raw_Data!D799)="",30435.80739,Raw_Data!D799)</f>
        <v>27616.67</v>
      </c>
      <c r="E799" t="str">
        <f>TEXT(Raw_Data!E799,"DD-MM-YYYY")</f>
        <v>03-08-2024</v>
      </c>
    </row>
    <row r="800" spans="1:5" x14ac:dyDescent="0.3">
      <c r="A800">
        <v>1798</v>
      </c>
      <c r="B800" t="str">
        <f>IF(TRIM(Raw_Data!B800)="","Unknown",PROPER(TRIM(Raw_Data!B800)))</f>
        <v>Keyboard</v>
      </c>
      <c r="C800" t="str">
        <f>IF(TRIM(Raw_Data!C800)="","South",TRIM(Raw_Data!C800))</f>
        <v>South</v>
      </c>
      <c r="D800">
        <f>IF(TRIM(Raw_Data!D800)="",30435.80739,Raw_Data!D800)</f>
        <v>50071.75</v>
      </c>
      <c r="E800" t="str">
        <f>TEXT(Raw_Data!E800,"DD-MM-YYYY")</f>
        <v>02-09-2024</v>
      </c>
    </row>
    <row r="801" spans="1:5" x14ac:dyDescent="0.3">
      <c r="A801">
        <v>1799</v>
      </c>
      <c r="B801" t="str">
        <f>IF(TRIM(Raw_Data!B801)="","Unknown",PROPER(TRIM(Raw_Data!B801)))</f>
        <v>Monitor</v>
      </c>
      <c r="C801" t="str">
        <f>IF(TRIM(Raw_Data!C801)="","South",TRIM(Raw_Data!C801))</f>
        <v>East</v>
      </c>
      <c r="D801">
        <f>IF(TRIM(Raw_Data!D801)="",30435.80739,Raw_Data!D801)</f>
        <v>6849.62</v>
      </c>
      <c r="E801" t="str">
        <f>TEXT(Raw_Data!E801,"DD-MM-YYYY")</f>
        <v>20-05-2024</v>
      </c>
    </row>
    <row r="802" spans="1:5" x14ac:dyDescent="0.3">
      <c r="A802">
        <v>1800</v>
      </c>
      <c r="B802" t="str">
        <f>IF(TRIM(Raw_Data!B802)="","Unknown",PROPER(TRIM(Raw_Data!B802)))</f>
        <v>Mouse</v>
      </c>
      <c r="C802" t="str">
        <f>IF(TRIM(Raw_Data!C802)="","South",TRIM(Raw_Data!C802))</f>
        <v>West</v>
      </c>
      <c r="D802">
        <f>IF(TRIM(Raw_Data!D802)="",30435.80739,Raw_Data!D802)</f>
        <v>56081.25</v>
      </c>
      <c r="E802" t="str">
        <f>TEXT(Raw_Data!E802,"DD-MM-YYYY")</f>
        <v>04-07-2024</v>
      </c>
    </row>
    <row r="803" spans="1:5" x14ac:dyDescent="0.3">
      <c r="A803">
        <v>1801</v>
      </c>
      <c r="B803" t="str">
        <f>IF(TRIM(Raw_Data!B803)="","Unknown",PROPER(TRIM(Raw_Data!B803)))</f>
        <v>Tablet</v>
      </c>
      <c r="C803" t="str">
        <f>IF(TRIM(Raw_Data!C803)="","South",TRIM(Raw_Data!C803))</f>
        <v>West</v>
      </c>
      <c r="D803">
        <f>IF(TRIM(Raw_Data!D803)="",30435.80739,Raw_Data!D803)</f>
        <v>35562.699999999997</v>
      </c>
      <c r="E803" t="str">
        <f>TEXT(Raw_Data!E803,"DD-MM-YYYY")</f>
        <v>18-11-2024</v>
      </c>
    </row>
    <row r="804" spans="1:5" x14ac:dyDescent="0.3">
      <c r="A804">
        <v>1802</v>
      </c>
      <c r="B804" t="str">
        <f>IF(TRIM(Raw_Data!B804)="","Unknown",PROPER(TRIM(Raw_Data!B804)))</f>
        <v>Monitor</v>
      </c>
      <c r="C804" t="str">
        <f>IF(TRIM(Raw_Data!C804)="","South",TRIM(Raw_Data!C804))</f>
        <v>East</v>
      </c>
      <c r="D804">
        <f>IF(TRIM(Raw_Data!D804)="",30435.80739,Raw_Data!D804)</f>
        <v>58397.81</v>
      </c>
      <c r="E804" t="str">
        <f>TEXT(Raw_Data!E804,"DD-MM-YYYY")</f>
        <v>01-04-2024</v>
      </c>
    </row>
    <row r="805" spans="1:5" x14ac:dyDescent="0.3">
      <c r="A805">
        <v>1803</v>
      </c>
      <c r="B805" t="str">
        <f>IF(TRIM(Raw_Data!B805)="","Unknown",PROPER(TRIM(Raw_Data!B805)))</f>
        <v>Laptop</v>
      </c>
      <c r="C805" t="str">
        <f>IF(TRIM(Raw_Data!C805)="","South",TRIM(Raw_Data!C805))</f>
        <v>South</v>
      </c>
      <c r="D805">
        <f>IF(TRIM(Raw_Data!D805)="",30435.80739,Raw_Data!D805)</f>
        <v>23974</v>
      </c>
      <c r="E805" t="str">
        <f>TEXT(Raw_Data!E805,"DD-MM-YYYY")</f>
        <v>21-12-2024</v>
      </c>
    </row>
    <row r="806" spans="1:5" x14ac:dyDescent="0.3">
      <c r="A806">
        <v>1804</v>
      </c>
      <c r="B806" t="str">
        <f>IF(TRIM(Raw_Data!B806)="","Unknown",PROPER(TRIM(Raw_Data!B806)))</f>
        <v>Monitor</v>
      </c>
      <c r="C806" t="str">
        <f>IF(TRIM(Raw_Data!C806)="","South",TRIM(Raw_Data!C806))</f>
        <v>South</v>
      </c>
      <c r="D806">
        <f>IF(TRIM(Raw_Data!D806)="",30435.80739,Raw_Data!D806)</f>
        <v>55578.81</v>
      </c>
      <c r="E806" t="str">
        <f>TEXT(Raw_Data!E806,"DD-MM-YYYY")</f>
        <v>26-07-2024</v>
      </c>
    </row>
    <row r="807" spans="1:5" x14ac:dyDescent="0.3">
      <c r="A807">
        <v>1805</v>
      </c>
      <c r="B807" t="str">
        <f>IF(TRIM(Raw_Data!B807)="","Unknown",PROPER(TRIM(Raw_Data!B807)))</f>
        <v>Keyboard</v>
      </c>
      <c r="C807" t="str">
        <f>IF(TRIM(Raw_Data!C807)="","South",TRIM(Raw_Data!C807))</f>
        <v>South</v>
      </c>
      <c r="D807">
        <f>IF(TRIM(Raw_Data!D807)="",30435.80739,Raw_Data!D807)</f>
        <v>49700.95</v>
      </c>
      <c r="E807" t="str">
        <f>TEXT(Raw_Data!E807,"DD-MM-YYYY")</f>
        <v>08-10-2024</v>
      </c>
    </row>
    <row r="808" spans="1:5" x14ac:dyDescent="0.3">
      <c r="A808">
        <v>1806</v>
      </c>
      <c r="B808" t="str">
        <f>IF(TRIM(Raw_Data!B808)="","Unknown",PROPER(TRIM(Raw_Data!B808)))</f>
        <v>Unknown</v>
      </c>
      <c r="C808" t="str">
        <f>IF(TRIM(Raw_Data!C808)="","South",TRIM(Raw_Data!C808))</f>
        <v>North</v>
      </c>
      <c r="D808">
        <f>IF(TRIM(Raw_Data!D808)="",30435.80739,Raw_Data!D808)</f>
        <v>54042.41</v>
      </c>
      <c r="E808" t="str">
        <f>TEXT(Raw_Data!E808,"DD-MM-YYYY")</f>
        <v>20-10-2024</v>
      </c>
    </row>
    <row r="809" spans="1:5" x14ac:dyDescent="0.3">
      <c r="A809">
        <v>1807</v>
      </c>
      <c r="B809" t="str">
        <f>IF(TRIM(Raw_Data!B809)="","Unknown",PROPER(TRIM(Raw_Data!B809)))</f>
        <v>Laptop</v>
      </c>
      <c r="C809" t="str">
        <f>IF(TRIM(Raw_Data!C809)="","South",TRIM(Raw_Data!C809))</f>
        <v>West</v>
      </c>
      <c r="D809">
        <f>IF(TRIM(Raw_Data!D809)="",30435.80739,Raw_Data!D809)</f>
        <v>29548.76</v>
      </c>
      <c r="E809" t="str">
        <f>TEXT(Raw_Data!E809,"DD-MM-YYYY")</f>
        <v>17-01-2024</v>
      </c>
    </row>
    <row r="810" spans="1:5" x14ac:dyDescent="0.3">
      <c r="A810">
        <v>1808</v>
      </c>
      <c r="B810" t="str">
        <f>IF(TRIM(Raw_Data!B810)="","Unknown",PROPER(TRIM(Raw_Data!B810)))</f>
        <v>Mouse</v>
      </c>
      <c r="C810" t="str">
        <f>IF(TRIM(Raw_Data!C810)="","South",TRIM(Raw_Data!C810))</f>
        <v>South</v>
      </c>
      <c r="D810">
        <f>IF(TRIM(Raw_Data!D810)="",30435.80739,Raw_Data!D810)</f>
        <v>48502.03</v>
      </c>
      <c r="E810" t="str">
        <f>TEXT(Raw_Data!E810,"DD-MM-YYYY")</f>
        <v>06-06-2024</v>
      </c>
    </row>
    <row r="811" spans="1:5" x14ac:dyDescent="0.3">
      <c r="A811">
        <v>1809</v>
      </c>
      <c r="B811" t="str">
        <f>IF(TRIM(Raw_Data!B811)="","Unknown",PROPER(TRIM(Raw_Data!B811)))</f>
        <v>Laptop</v>
      </c>
      <c r="C811" t="str">
        <f>IF(TRIM(Raw_Data!C811)="","South",TRIM(Raw_Data!C811))</f>
        <v>North</v>
      </c>
      <c r="D811">
        <f>IF(TRIM(Raw_Data!D811)="",30435.80739,Raw_Data!D811)</f>
        <v>57930.79</v>
      </c>
      <c r="E811" t="str">
        <f>TEXT(Raw_Data!E811,"DD-MM-YYYY")</f>
        <v>03-04-2024</v>
      </c>
    </row>
    <row r="812" spans="1:5" x14ac:dyDescent="0.3">
      <c r="A812">
        <v>1810</v>
      </c>
      <c r="B812" t="str">
        <f>IF(TRIM(Raw_Data!B812)="","Unknown",PROPER(TRIM(Raw_Data!B812)))</f>
        <v>Laptop</v>
      </c>
      <c r="C812" t="str">
        <f>IF(TRIM(Raw_Data!C812)="","South",TRIM(Raw_Data!C812))</f>
        <v>North</v>
      </c>
      <c r="D812">
        <f>IF(TRIM(Raw_Data!D812)="",30435.80739,Raw_Data!D812)</f>
        <v>1848</v>
      </c>
      <c r="E812" t="str">
        <f>TEXT(Raw_Data!E812,"DD-MM-YYYY")</f>
        <v>02-01-2024</v>
      </c>
    </row>
    <row r="813" spans="1:5" x14ac:dyDescent="0.3">
      <c r="A813">
        <v>1781</v>
      </c>
      <c r="B813" t="str">
        <f>IF(TRIM(Raw_Data!B813)="","Unknown",PROPER(TRIM(Raw_Data!B813)))</f>
        <v>Keyboard</v>
      </c>
      <c r="C813" t="str">
        <f>IF(TRIM(Raw_Data!C813)="","South",TRIM(Raw_Data!C813))</f>
        <v>South</v>
      </c>
      <c r="D813">
        <f>IF(TRIM(Raw_Data!D813)="",30435.80739,Raw_Data!D813)</f>
        <v>5260.58</v>
      </c>
      <c r="E813" t="str">
        <f>TEXT(Raw_Data!E813,"DD-MM-YYYY")</f>
        <v>25-01-2024</v>
      </c>
    </row>
    <row r="814" spans="1:5" x14ac:dyDescent="0.3">
      <c r="A814">
        <v>1812</v>
      </c>
      <c r="B814" t="str">
        <f>IF(TRIM(Raw_Data!B814)="","Unknown",PROPER(TRIM(Raw_Data!B814)))</f>
        <v>Keyboard</v>
      </c>
      <c r="C814" t="str">
        <f>IF(TRIM(Raw_Data!C814)="","South",TRIM(Raw_Data!C814))</f>
        <v>North</v>
      </c>
      <c r="D814">
        <f>IF(TRIM(Raw_Data!D814)="",30435.80739,Raw_Data!D814)</f>
        <v>52471.28</v>
      </c>
      <c r="E814" t="str">
        <f>TEXT(Raw_Data!E814,"DD-MM-YYYY")</f>
        <v>17-02-2024</v>
      </c>
    </row>
    <row r="815" spans="1:5" x14ac:dyDescent="0.3">
      <c r="A815">
        <v>1813</v>
      </c>
      <c r="B815" t="str">
        <f>IF(TRIM(Raw_Data!B815)="","Unknown",PROPER(TRIM(Raw_Data!B815)))</f>
        <v>Laptop</v>
      </c>
      <c r="C815" t="str">
        <f>IF(TRIM(Raw_Data!C815)="","South",TRIM(Raw_Data!C815))</f>
        <v>East</v>
      </c>
      <c r="D815">
        <f>IF(TRIM(Raw_Data!D815)="",30435.80739,Raw_Data!D815)</f>
        <v>15938.74</v>
      </c>
      <c r="E815" t="str">
        <f>TEXT(Raw_Data!E815,"DD-MM-YYYY")</f>
        <v>23-06-2024</v>
      </c>
    </row>
    <row r="816" spans="1:5" x14ac:dyDescent="0.3">
      <c r="A816">
        <v>1814</v>
      </c>
      <c r="B816" t="str">
        <f>IF(TRIM(Raw_Data!B816)="","Unknown",PROPER(TRIM(Raw_Data!B816)))</f>
        <v>Keyboard</v>
      </c>
      <c r="C816" t="str">
        <f>IF(TRIM(Raw_Data!C816)="","South",TRIM(Raw_Data!C816))</f>
        <v>South</v>
      </c>
      <c r="D816">
        <f>IF(TRIM(Raw_Data!D816)="",30435.80739,Raw_Data!D816)</f>
        <v>52120.61</v>
      </c>
      <c r="E816" t="str">
        <f>TEXT(Raw_Data!E816,"DD-MM-YYYY")</f>
        <v>03-08-2024</v>
      </c>
    </row>
    <row r="817" spans="1:5" x14ac:dyDescent="0.3">
      <c r="A817">
        <v>1815</v>
      </c>
      <c r="B817" t="str">
        <f>IF(TRIM(Raw_Data!B817)="","Unknown",PROPER(TRIM(Raw_Data!B817)))</f>
        <v>Keyboard</v>
      </c>
      <c r="C817" t="str">
        <f>IF(TRIM(Raw_Data!C817)="","South",TRIM(Raw_Data!C817))</f>
        <v>South</v>
      </c>
      <c r="D817">
        <f>IF(TRIM(Raw_Data!D817)="",30435.80739,Raw_Data!D817)</f>
        <v>6855.02</v>
      </c>
      <c r="E817" t="str">
        <f>TEXT(Raw_Data!E817,"DD-MM-YYYY")</f>
        <v>10-09-2024</v>
      </c>
    </row>
    <row r="818" spans="1:5" x14ac:dyDescent="0.3">
      <c r="A818">
        <v>1816</v>
      </c>
      <c r="B818" t="str">
        <f>IF(TRIM(Raw_Data!B818)="","Unknown",PROPER(TRIM(Raw_Data!B818)))</f>
        <v>Laptop</v>
      </c>
      <c r="C818" t="str">
        <f>IF(TRIM(Raw_Data!C818)="","South",TRIM(Raw_Data!C818))</f>
        <v>East</v>
      </c>
      <c r="D818">
        <f>IF(TRIM(Raw_Data!D818)="",30435.80739,Raw_Data!D818)</f>
        <v>37765.129999999997</v>
      </c>
      <c r="E818" t="str">
        <f>TEXT(Raw_Data!E818,"DD-MM-YYYY")</f>
        <v>15-01-2024</v>
      </c>
    </row>
    <row r="819" spans="1:5" x14ac:dyDescent="0.3">
      <c r="A819">
        <v>1817</v>
      </c>
      <c r="B819" t="str">
        <f>IF(TRIM(Raw_Data!B819)="","Unknown",PROPER(TRIM(Raw_Data!B819)))</f>
        <v>Monitor</v>
      </c>
      <c r="C819" t="str">
        <f>IF(TRIM(Raw_Data!C819)="","South",TRIM(Raw_Data!C819))</f>
        <v>South</v>
      </c>
      <c r="D819">
        <f>IF(TRIM(Raw_Data!D819)="",30435.80739,Raw_Data!D819)</f>
        <v>8481.31</v>
      </c>
      <c r="E819" t="str">
        <f>TEXT(Raw_Data!E819,"DD-MM-YYYY")</f>
        <v>19-09-2024</v>
      </c>
    </row>
    <row r="820" spans="1:5" x14ac:dyDescent="0.3">
      <c r="A820">
        <v>1818</v>
      </c>
      <c r="B820" t="str">
        <f>IF(TRIM(Raw_Data!B820)="","Unknown",PROPER(TRIM(Raw_Data!B820)))</f>
        <v>Mouse</v>
      </c>
      <c r="C820" t="str">
        <f>IF(TRIM(Raw_Data!C820)="","South",TRIM(Raw_Data!C820))</f>
        <v>South</v>
      </c>
      <c r="D820">
        <f>IF(TRIM(Raw_Data!D820)="",30435.80739,Raw_Data!D820)</f>
        <v>51337.37</v>
      </c>
      <c r="E820" t="str">
        <f>TEXT(Raw_Data!E820,"DD-MM-YYYY")</f>
        <v>19-03-2024</v>
      </c>
    </row>
    <row r="821" spans="1:5" x14ac:dyDescent="0.3">
      <c r="A821">
        <v>1819</v>
      </c>
      <c r="B821" t="str">
        <f>IF(TRIM(Raw_Data!B821)="","Unknown",PROPER(TRIM(Raw_Data!B821)))</f>
        <v>Laptop</v>
      </c>
      <c r="C821" t="str">
        <f>IF(TRIM(Raw_Data!C821)="","South",TRIM(Raw_Data!C821))</f>
        <v>West</v>
      </c>
      <c r="D821">
        <f>IF(TRIM(Raw_Data!D821)="",30435.80739,Raw_Data!D821)</f>
        <v>24257.24</v>
      </c>
      <c r="E821" t="str">
        <f>TEXT(Raw_Data!E821,"DD-MM-YYYY")</f>
        <v>01-10-2024</v>
      </c>
    </row>
    <row r="822" spans="1:5" x14ac:dyDescent="0.3">
      <c r="A822">
        <v>1820</v>
      </c>
      <c r="B822" t="str">
        <f>IF(TRIM(Raw_Data!B822)="","Unknown",PROPER(TRIM(Raw_Data!B822)))</f>
        <v>Monitor</v>
      </c>
      <c r="C822" t="str">
        <f>IF(TRIM(Raw_Data!C822)="","South",TRIM(Raw_Data!C822))</f>
        <v>East</v>
      </c>
      <c r="D822">
        <f>IF(TRIM(Raw_Data!D822)="",30435.80739,Raw_Data!D822)</f>
        <v>35686.239999999998</v>
      </c>
      <c r="E822" t="str">
        <f>TEXT(Raw_Data!E822,"DD-MM-YYYY")</f>
        <v>07-07-2024</v>
      </c>
    </row>
    <row r="823" spans="1:5" x14ac:dyDescent="0.3">
      <c r="A823">
        <v>1821</v>
      </c>
      <c r="B823" t="str">
        <f>IF(TRIM(Raw_Data!B823)="","Unknown",PROPER(TRIM(Raw_Data!B823)))</f>
        <v>Keyboard</v>
      </c>
      <c r="C823" t="str">
        <f>IF(TRIM(Raw_Data!C823)="","South",TRIM(Raw_Data!C823))</f>
        <v>East</v>
      </c>
      <c r="D823">
        <f>IF(TRIM(Raw_Data!D823)="",30435.80739,Raw_Data!D823)</f>
        <v>58721.52</v>
      </c>
      <c r="E823" t="str">
        <f>TEXT(Raw_Data!E823,"DD-MM-YYYY")</f>
        <v>09-12-2024</v>
      </c>
    </row>
    <row r="824" spans="1:5" x14ac:dyDescent="0.3">
      <c r="A824">
        <v>1822</v>
      </c>
      <c r="B824" t="str">
        <f>IF(TRIM(Raw_Data!B824)="","Unknown",PROPER(TRIM(Raw_Data!B824)))</f>
        <v>Mouse</v>
      </c>
      <c r="C824" t="str">
        <f>IF(TRIM(Raw_Data!C824)="","South",TRIM(Raw_Data!C824))</f>
        <v>East</v>
      </c>
      <c r="D824">
        <f>IF(TRIM(Raw_Data!D824)="",30435.80739,Raw_Data!D824)</f>
        <v>30435.807390000002</v>
      </c>
      <c r="E824" t="str">
        <f>TEXT(Raw_Data!E824,"DD-MM-YYYY")</f>
        <v>28-09-2024</v>
      </c>
    </row>
    <row r="825" spans="1:5" x14ac:dyDescent="0.3">
      <c r="A825">
        <v>1823</v>
      </c>
      <c r="B825" t="str">
        <f>IF(TRIM(Raw_Data!B825)="","Unknown",PROPER(TRIM(Raw_Data!B825)))</f>
        <v>Keyboard</v>
      </c>
      <c r="C825" t="str">
        <f>IF(TRIM(Raw_Data!C825)="","South",TRIM(Raw_Data!C825))</f>
        <v>South</v>
      </c>
      <c r="D825">
        <f>IF(TRIM(Raw_Data!D825)="",30435.80739,Raw_Data!D825)</f>
        <v>17408.62</v>
      </c>
      <c r="E825" t="str">
        <f>TEXT(Raw_Data!E825,"DD-MM-YYYY")</f>
        <v>14-10-2024</v>
      </c>
    </row>
    <row r="826" spans="1:5" x14ac:dyDescent="0.3">
      <c r="A826">
        <v>1824</v>
      </c>
      <c r="B826" t="str">
        <f>IF(TRIM(Raw_Data!B826)="","Unknown",PROPER(TRIM(Raw_Data!B826)))</f>
        <v>Mouse</v>
      </c>
      <c r="C826" t="str">
        <f>IF(TRIM(Raw_Data!C826)="","South",TRIM(Raw_Data!C826))</f>
        <v>South</v>
      </c>
      <c r="D826">
        <f>IF(TRIM(Raw_Data!D826)="",30435.80739,Raw_Data!D826)</f>
        <v>2247.84</v>
      </c>
      <c r="E826" t="str">
        <f>TEXT(Raw_Data!E826,"DD-MM-YYYY")</f>
        <v>15-09-2024</v>
      </c>
    </row>
    <row r="827" spans="1:5" x14ac:dyDescent="0.3">
      <c r="A827">
        <v>1825</v>
      </c>
      <c r="B827" t="str">
        <f>IF(TRIM(Raw_Data!B827)="","Unknown",PROPER(TRIM(Raw_Data!B827)))</f>
        <v>Keyboard</v>
      </c>
      <c r="C827" t="str">
        <f>IF(TRIM(Raw_Data!C827)="","South",TRIM(Raw_Data!C827))</f>
        <v>South</v>
      </c>
      <c r="D827">
        <f>IF(TRIM(Raw_Data!D827)="",30435.80739,Raw_Data!D827)</f>
        <v>28294.01</v>
      </c>
      <c r="E827" t="str">
        <f>TEXT(Raw_Data!E827,"DD-MM-YYYY")</f>
        <v>30-04-2024</v>
      </c>
    </row>
    <row r="828" spans="1:5" x14ac:dyDescent="0.3">
      <c r="A828">
        <v>1826</v>
      </c>
      <c r="B828" t="str">
        <f>IF(TRIM(Raw_Data!B828)="","Unknown",PROPER(TRIM(Raw_Data!B828)))</f>
        <v>Tablet</v>
      </c>
      <c r="C828" t="str">
        <f>IF(TRIM(Raw_Data!C828)="","South",TRIM(Raw_Data!C828))</f>
        <v>North</v>
      </c>
      <c r="D828">
        <f>IF(TRIM(Raw_Data!D828)="",30435.80739,Raw_Data!D828)</f>
        <v>54448.79</v>
      </c>
      <c r="E828" t="str">
        <f>TEXT(Raw_Data!E828,"DD-MM-YYYY")</f>
        <v>15-04-2024</v>
      </c>
    </row>
    <row r="829" spans="1:5" x14ac:dyDescent="0.3">
      <c r="A829">
        <v>1827</v>
      </c>
      <c r="B829" t="str">
        <f>IF(TRIM(Raw_Data!B829)="","Unknown",PROPER(TRIM(Raw_Data!B829)))</f>
        <v>Keyboard</v>
      </c>
      <c r="C829" t="str">
        <f>IF(TRIM(Raw_Data!C829)="","South",TRIM(Raw_Data!C829))</f>
        <v>North</v>
      </c>
      <c r="D829">
        <f>IF(TRIM(Raw_Data!D829)="",30435.80739,Raw_Data!D829)</f>
        <v>35413.300000000003</v>
      </c>
      <c r="E829" t="str">
        <f>TEXT(Raw_Data!E829,"DD-MM-YYYY")</f>
        <v>12-12-2024</v>
      </c>
    </row>
    <row r="830" spans="1:5" x14ac:dyDescent="0.3">
      <c r="A830">
        <v>1828</v>
      </c>
      <c r="B830" t="str">
        <f>IF(TRIM(Raw_Data!B830)="","Unknown",PROPER(TRIM(Raw_Data!B830)))</f>
        <v>Monitor</v>
      </c>
      <c r="C830" t="str">
        <f>IF(TRIM(Raw_Data!C830)="","South",TRIM(Raw_Data!C830))</f>
        <v>South</v>
      </c>
      <c r="D830">
        <f>IF(TRIM(Raw_Data!D830)="",30435.80739,Raw_Data!D830)</f>
        <v>59358.39</v>
      </c>
      <c r="E830" t="str">
        <f>TEXT(Raw_Data!E830,"DD-MM-YYYY")</f>
        <v>30-06-2024</v>
      </c>
    </row>
    <row r="831" spans="1:5" x14ac:dyDescent="0.3">
      <c r="A831">
        <v>1829</v>
      </c>
      <c r="B831" t="str">
        <f>IF(TRIM(Raw_Data!B831)="","Unknown",PROPER(TRIM(Raw_Data!B831)))</f>
        <v>Unknown</v>
      </c>
      <c r="C831" t="str">
        <f>IF(TRIM(Raw_Data!C831)="","South",TRIM(Raw_Data!C831))</f>
        <v>North</v>
      </c>
      <c r="D831">
        <f>IF(TRIM(Raw_Data!D831)="",30435.80739,Raw_Data!D831)</f>
        <v>47416.66</v>
      </c>
      <c r="E831" t="str">
        <f>TEXT(Raw_Data!E831,"DD-MM-YYYY")</f>
        <v>09-04-2024</v>
      </c>
    </row>
    <row r="832" spans="1:5" x14ac:dyDescent="0.3">
      <c r="A832">
        <v>1830</v>
      </c>
      <c r="B832" t="str">
        <f>IF(TRIM(Raw_Data!B832)="","Unknown",PROPER(TRIM(Raw_Data!B832)))</f>
        <v>Mouse</v>
      </c>
      <c r="C832" t="str">
        <f>IF(TRIM(Raw_Data!C832)="","South",TRIM(Raw_Data!C832))</f>
        <v>East</v>
      </c>
      <c r="D832">
        <f>IF(TRIM(Raw_Data!D832)="",30435.80739,Raw_Data!D832)</f>
        <v>12504.81</v>
      </c>
      <c r="E832" t="str">
        <f>TEXT(Raw_Data!E832,"DD-MM-YYYY")</f>
        <v>29-12-2024</v>
      </c>
    </row>
    <row r="833" spans="1:5" x14ac:dyDescent="0.3">
      <c r="A833">
        <v>1831</v>
      </c>
      <c r="B833" t="str">
        <f>IF(TRIM(Raw_Data!B833)="","Unknown",PROPER(TRIM(Raw_Data!B833)))</f>
        <v>Laptop</v>
      </c>
      <c r="C833" t="str">
        <f>IF(TRIM(Raw_Data!C833)="","South",TRIM(Raw_Data!C833))</f>
        <v>East</v>
      </c>
      <c r="D833">
        <f>IF(TRIM(Raw_Data!D833)="",30435.80739,Raw_Data!D833)</f>
        <v>48307.73</v>
      </c>
      <c r="E833" t="str">
        <f>TEXT(Raw_Data!E833,"DD-MM-YYYY")</f>
        <v>26-11-2024</v>
      </c>
    </row>
    <row r="834" spans="1:5" x14ac:dyDescent="0.3">
      <c r="A834">
        <v>1832</v>
      </c>
      <c r="B834" t="str">
        <f>IF(TRIM(Raw_Data!B834)="","Unknown",PROPER(TRIM(Raw_Data!B834)))</f>
        <v>Tablet</v>
      </c>
      <c r="C834" t="str">
        <f>IF(TRIM(Raw_Data!C834)="","South",TRIM(Raw_Data!C834))</f>
        <v>South</v>
      </c>
      <c r="D834">
        <f>IF(TRIM(Raw_Data!D834)="",30435.80739,Raw_Data!D834)</f>
        <v>2620.7600000000002</v>
      </c>
      <c r="E834" t="str">
        <f>TEXT(Raw_Data!E834,"DD-MM-YYYY")</f>
        <v>20-07-2024</v>
      </c>
    </row>
    <row r="835" spans="1:5" x14ac:dyDescent="0.3">
      <c r="A835">
        <v>1833</v>
      </c>
      <c r="B835" t="str">
        <f>IF(TRIM(Raw_Data!B835)="","Unknown",PROPER(TRIM(Raw_Data!B835)))</f>
        <v>Mouse</v>
      </c>
      <c r="C835" t="str">
        <f>IF(TRIM(Raw_Data!C835)="","South",TRIM(Raw_Data!C835))</f>
        <v>West</v>
      </c>
      <c r="D835">
        <f>IF(TRIM(Raw_Data!D835)="",30435.80739,Raw_Data!D835)</f>
        <v>12053.46</v>
      </c>
      <c r="E835" t="str">
        <f>TEXT(Raw_Data!E835,"DD-MM-YYYY")</f>
        <v>21-10-2024</v>
      </c>
    </row>
    <row r="836" spans="1:5" x14ac:dyDescent="0.3">
      <c r="A836">
        <v>1834</v>
      </c>
      <c r="B836" t="str">
        <f>IF(TRIM(Raw_Data!B836)="","Unknown",PROPER(TRIM(Raw_Data!B836)))</f>
        <v>Keyboard</v>
      </c>
      <c r="C836" t="str">
        <f>IF(TRIM(Raw_Data!C836)="","South",TRIM(Raw_Data!C836))</f>
        <v>South</v>
      </c>
      <c r="D836">
        <f>IF(TRIM(Raw_Data!D836)="",30435.80739,Raw_Data!D836)</f>
        <v>55467.27</v>
      </c>
      <c r="E836" t="str">
        <f>TEXT(Raw_Data!E836,"DD-MM-YYYY")</f>
        <v>01-11-2024</v>
      </c>
    </row>
    <row r="837" spans="1:5" x14ac:dyDescent="0.3">
      <c r="A837">
        <v>1835</v>
      </c>
      <c r="B837" t="str">
        <f>IF(TRIM(Raw_Data!B837)="","Unknown",PROPER(TRIM(Raw_Data!B837)))</f>
        <v>Laptop</v>
      </c>
      <c r="C837" t="str">
        <f>IF(TRIM(Raw_Data!C837)="","South",TRIM(Raw_Data!C837))</f>
        <v>South</v>
      </c>
      <c r="D837">
        <f>IF(TRIM(Raw_Data!D837)="",30435.80739,Raw_Data!D837)</f>
        <v>39323.03</v>
      </c>
      <c r="E837" t="str">
        <f>TEXT(Raw_Data!E837,"DD-MM-YYYY")</f>
        <v>25-05-2024</v>
      </c>
    </row>
    <row r="838" spans="1:5" x14ac:dyDescent="0.3">
      <c r="A838">
        <v>1836</v>
      </c>
      <c r="B838" t="str">
        <f>IF(TRIM(Raw_Data!B838)="","Unknown",PROPER(TRIM(Raw_Data!B838)))</f>
        <v>Laptop</v>
      </c>
      <c r="C838" t="str">
        <f>IF(TRIM(Raw_Data!C838)="","South",TRIM(Raw_Data!C838))</f>
        <v>South</v>
      </c>
      <c r="D838">
        <f>IF(TRIM(Raw_Data!D838)="",30435.80739,Raw_Data!D838)</f>
        <v>32093.45</v>
      </c>
      <c r="E838" t="str">
        <f>TEXT(Raw_Data!E838,"DD-MM-YYYY")</f>
        <v>07-03-2024</v>
      </c>
    </row>
    <row r="839" spans="1:5" x14ac:dyDescent="0.3">
      <c r="A839">
        <v>1837</v>
      </c>
      <c r="B839" t="str">
        <f>IF(TRIM(Raw_Data!B839)="","Unknown",PROPER(TRIM(Raw_Data!B839)))</f>
        <v>Mouse</v>
      </c>
      <c r="C839" t="str">
        <f>IF(TRIM(Raw_Data!C839)="","South",TRIM(Raw_Data!C839))</f>
        <v>South</v>
      </c>
      <c r="D839">
        <f>IF(TRIM(Raw_Data!D839)="",30435.80739,Raw_Data!D839)</f>
        <v>7498.39</v>
      </c>
      <c r="E839" t="str">
        <f>TEXT(Raw_Data!E839,"DD-MM-YYYY")</f>
        <v>21-05-2024</v>
      </c>
    </row>
    <row r="840" spans="1:5" x14ac:dyDescent="0.3">
      <c r="A840">
        <v>1838</v>
      </c>
      <c r="B840" t="str">
        <f>IF(TRIM(Raw_Data!B840)="","Unknown",PROPER(TRIM(Raw_Data!B840)))</f>
        <v>Monitor</v>
      </c>
      <c r="C840" t="str">
        <f>IF(TRIM(Raw_Data!C840)="","South",TRIM(Raw_Data!C840))</f>
        <v>East</v>
      </c>
      <c r="D840">
        <f>IF(TRIM(Raw_Data!D840)="",30435.80739,Raw_Data!D840)</f>
        <v>9592.09</v>
      </c>
      <c r="E840" t="str">
        <f>TEXT(Raw_Data!E840,"DD-MM-YYYY")</f>
        <v>16-08-2024</v>
      </c>
    </row>
    <row r="841" spans="1:5" x14ac:dyDescent="0.3">
      <c r="A841">
        <v>1839</v>
      </c>
      <c r="B841" t="str">
        <f>IF(TRIM(Raw_Data!B841)="","Unknown",PROPER(TRIM(Raw_Data!B841)))</f>
        <v>Mouse</v>
      </c>
      <c r="C841" t="str">
        <f>IF(TRIM(Raw_Data!C841)="","South",TRIM(Raw_Data!C841))</f>
        <v>South</v>
      </c>
      <c r="D841">
        <f>IF(TRIM(Raw_Data!D841)="",30435.80739,Raw_Data!D841)</f>
        <v>9333.3799999999992</v>
      </c>
      <c r="E841" t="str">
        <f>TEXT(Raw_Data!E841,"DD-MM-YYYY")</f>
        <v>30-09-2024</v>
      </c>
    </row>
    <row r="842" spans="1:5" x14ac:dyDescent="0.3">
      <c r="A842">
        <v>1840</v>
      </c>
      <c r="B842" t="str">
        <f>IF(TRIM(Raw_Data!B842)="","Unknown",PROPER(TRIM(Raw_Data!B842)))</f>
        <v>Keyboard</v>
      </c>
      <c r="C842" t="str">
        <f>IF(TRIM(Raw_Data!C842)="","South",TRIM(Raw_Data!C842))</f>
        <v>South</v>
      </c>
      <c r="D842">
        <f>IF(TRIM(Raw_Data!D842)="",30435.80739,Raw_Data!D842)</f>
        <v>39365.050000000003</v>
      </c>
      <c r="E842" t="str">
        <f>TEXT(Raw_Data!E842,"DD-MM-YYYY")</f>
        <v>11-06-2024</v>
      </c>
    </row>
    <row r="843" spans="1:5" x14ac:dyDescent="0.3">
      <c r="A843">
        <v>1841</v>
      </c>
      <c r="B843" t="str">
        <f>IF(TRIM(Raw_Data!B843)="","Unknown",PROPER(TRIM(Raw_Data!B843)))</f>
        <v>Monitor</v>
      </c>
      <c r="C843" t="str">
        <f>IF(TRIM(Raw_Data!C843)="","South",TRIM(Raw_Data!C843))</f>
        <v>South</v>
      </c>
      <c r="D843">
        <f>IF(TRIM(Raw_Data!D843)="",30435.80739,Raw_Data!D843)</f>
        <v>53436.4</v>
      </c>
      <c r="E843" t="str">
        <f>TEXT(Raw_Data!E843,"DD-MM-YYYY")</f>
        <v>04-11-2024</v>
      </c>
    </row>
    <row r="844" spans="1:5" x14ac:dyDescent="0.3">
      <c r="A844">
        <v>1842</v>
      </c>
      <c r="B844" t="str">
        <f>IF(TRIM(Raw_Data!B844)="","Unknown",PROPER(TRIM(Raw_Data!B844)))</f>
        <v>Laptop</v>
      </c>
      <c r="C844" t="str">
        <f>IF(TRIM(Raw_Data!C844)="","South",TRIM(Raw_Data!C844))</f>
        <v>East</v>
      </c>
      <c r="D844">
        <f>IF(TRIM(Raw_Data!D844)="",30435.80739,Raw_Data!D844)</f>
        <v>23027.84</v>
      </c>
      <c r="E844" t="str">
        <f>TEXT(Raw_Data!E844,"DD-MM-YYYY")</f>
        <v>19-10-2024</v>
      </c>
    </row>
    <row r="845" spans="1:5" x14ac:dyDescent="0.3">
      <c r="A845">
        <v>1843</v>
      </c>
      <c r="B845" t="str">
        <f>IF(TRIM(Raw_Data!B845)="","Unknown",PROPER(TRIM(Raw_Data!B845)))</f>
        <v>Keyboard</v>
      </c>
      <c r="C845" t="str">
        <f>IF(TRIM(Raw_Data!C845)="","South",TRIM(Raw_Data!C845))</f>
        <v>East</v>
      </c>
      <c r="D845">
        <f>IF(TRIM(Raw_Data!D845)="",30435.80739,Raw_Data!D845)</f>
        <v>8160.94</v>
      </c>
      <c r="E845" t="str">
        <f>TEXT(Raw_Data!E845,"DD-MM-YYYY")</f>
        <v>11-05-2024</v>
      </c>
    </row>
    <row r="846" spans="1:5" x14ac:dyDescent="0.3">
      <c r="A846">
        <v>1844</v>
      </c>
      <c r="B846" t="str">
        <f>IF(TRIM(Raw_Data!B846)="","Unknown",PROPER(TRIM(Raw_Data!B846)))</f>
        <v>Monitor</v>
      </c>
      <c r="C846" t="str">
        <f>IF(TRIM(Raw_Data!C846)="","South",TRIM(Raw_Data!C846))</f>
        <v>North</v>
      </c>
      <c r="D846">
        <f>IF(TRIM(Raw_Data!D846)="",30435.80739,Raw_Data!D846)</f>
        <v>30435.807390000002</v>
      </c>
      <c r="E846" t="str">
        <f>TEXT(Raw_Data!E846,"DD-MM-YYYY")</f>
        <v>29-12-2024</v>
      </c>
    </row>
    <row r="847" spans="1:5" x14ac:dyDescent="0.3">
      <c r="A847">
        <v>1845</v>
      </c>
      <c r="B847" t="str">
        <f>IF(TRIM(Raw_Data!B847)="","Unknown",PROPER(TRIM(Raw_Data!B847)))</f>
        <v>Tablet</v>
      </c>
      <c r="C847" t="str">
        <f>IF(TRIM(Raw_Data!C847)="","South",TRIM(Raw_Data!C847))</f>
        <v>South</v>
      </c>
      <c r="D847">
        <f>IF(TRIM(Raw_Data!D847)="",30435.80739,Raw_Data!D847)</f>
        <v>52142.47</v>
      </c>
      <c r="E847" t="str">
        <f>TEXT(Raw_Data!E847,"DD-MM-YYYY")</f>
        <v>19-09-2024</v>
      </c>
    </row>
    <row r="848" spans="1:5" x14ac:dyDescent="0.3">
      <c r="A848">
        <v>1846</v>
      </c>
      <c r="B848" t="str">
        <f>IF(TRIM(Raw_Data!B848)="","Unknown",PROPER(TRIM(Raw_Data!B848)))</f>
        <v>Tablet</v>
      </c>
      <c r="C848" t="str">
        <f>IF(TRIM(Raw_Data!C848)="","South",TRIM(Raw_Data!C848))</f>
        <v>North</v>
      </c>
      <c r="D848">
        <f>IF(TRIM(Raw_Data!D848)="",30435.80739,Raw_Data!D848)</f>
        <v>10982.98</v>
      </c>
      <c r="E848" t="str">
        <f>TEXT(Raw_Data!E848,"DD-MM-YYYY")</f>
        <v>21-06-2024</v>
      </c>
    </row>
    <row r="849" spans="1:5" x14ac:dyDescent="0.3">
      <c r="A849">
        <v>1847</v>
      </c>
      <c r="B849" t="str">
        <f>IF(TRIM(Raw_Data!B849)="","Unknown",PROPER(TRIM(Raw_Data!B849)))</f>
        <v>Monitor</v>
      </c>
      <c r="C849" t="str">
        <f>IF(TRIM(Raw_Data!C849)="","South",TRIM(Raw_Data!C849))</f>
        <v>North</v>
      </c>
      <c r="D849">
        <f>IF(TRIM(Raw_Data!D849)="",30435.80739,Raw_Data!D849)</f>
        <v>2066.7800000000002</v>
      </c>
      <c r="E849" t="str">
        <f>TEXT(Raw_Data!E849,"DD-MM-YYYY")</f>
        <v>09-07-2024</v>
      </c>
    </row>
    <row r="850" spans="1:5" x14ac:dyDescent="0.3">
      <c r="A850">
        <v>1848</v>
      </c>
      <c r="B850" t="str">
        <f>IF(TRIM(Raw_Data!B850)="","Unknown",PROPER(TRIM(Raw_Data!B850)))</f>
        <v>Tablet</v>
      </c>
      <c r="C850" t="str">
        <f>IF(TRIM(Raw_Data!C850)="","South",TRIM(Raw_Data!C850))</f>
        <v>South</v>
      </c>
      <c r="D850">
        <f>IF(TRIM(Raw_Data!D850)="",30435.80739,Raw_Data!D850)</f>
        <v>28906.45</v>
      </c>
      <c r="E850" t="str">
        <f>TEXT(Raw_Data!E850,"DD-MM-YYYY")</f>
        <v>22-01-2024</v>
      </c>
    </row>
    <row r="851" spans="1:5" x14ac:dyDescent="0.3">
      <c r="A851">
        <v>1849</v>
      </c>
      <c r="B851" t="str">
        <f>IF(TRIM(Raw_Data!B851)="","Unknown",PROPER(TRIM(Raw_Data!B851)))</f>
        <v>Mouse</v>
      </c>
      <c r="C851" t="str">
        <f>IF(TRIM(Raw_Data!C851)="","South",TRIM(Raw_Data!C851))</f>
        <v>South</v>
      </c>
      <c r="D851">
        <f>IF(TRIM(Raw_Data!D851)="",30435.80739,Raw_Data!D851)</f>
        <v>6745.23</v>
      </c>
      <c r="E851" t="str">
        <f>TEXT(Raw_Data!E851,"DD-MM-YYYY")</f>
        <v>08-08-2024</v>
      </c>
    </row>
    <row r="852" spans="1:5" x14ac:dyDescent="0.3">
      <c r="A852">
        <v>1850</v>
      </c>
      <c r="B852" t="str">
        <f>IF(TRIM(Raw_Data!B852)="","Unknown",PROPER(TRIM(Raw_Data!B852)))</f>
        <v>Tablet</v>
      </c>
      <c r="C852" t="str">
        <f>IF(TRIM(Raw_Data!C852)="","South",TRIM(Raw_Data!C852))</f>
        <v>East</v>
      </c>
      <c r="D852">
        <f>IF(TRIM(Raw_Data!D852)="",30435.80739,Raw_Data!D852)</f>
        <v>46729.83</v>
      </c>
      <c r="E852" t="str">
        <f>TEXT(Raw_Data!E852,"DD-MM-YYYY")</f>
        <v>02-09-2024</v>
      </c>
    </row>
    <row r="853" spans="1:5" x14ac:dyDescent="0.3">
      <c r="A853">
        <v>1851</v>
      </c>
      <c r="B853" t="str">
        <f>IF(TRIM(Raw_Data!B853)="","Unknown",PROPER(TRIM(Raw_Data!B853)))</f>
        <v>Keyboard</v>
      </c>
      <c r="C853" t="str">
        <f>IF(TRIM(Raw_Data!C853)="","South",TRIM(Raw_Data!C853))</f>
        <v>South</v>
      </c>
      <c r="D853">
        <f>IF(TRIM(Raw_Data!D853)="",30435.80739,Raw_Data!D853)</f>
        <v>43102.83</v>
      </c>
      <c r="E853" t="str">
        <f>TEXT(Raw_Data!E853,"DD-MM-YYYY")</f>
        <v>15-10-2024</v>
      </c>
    </row>
    <row r="854" spans="1:5" x14ac:dyDescent="0.3">
      <c r="A854">
        <v>1852</v>
      </c>
      <c r="B854" t="str">
        <f>IF(TRIM(Raw_Data!B854)="","Unknown",PROPER(TRIM(Raw_Data!B854)))</f>
        <v>Tablet</v>
      </c>
      <c r="C854" t="str">
        <f>IF(TRIM(Raw_Data!C854)="","South",TRIM(Raw_Data!C854))</f>
        <v>North</v>
      </c>
      <c r="D854">
        <f>IF(TRIM(Raw_Data!D854)="",30435.80739,Raw_Data!D854)</f>
        <v>44931.22</v>
      </c>
      <c r="E854" t="str">
        <f>TEXT(Raw_Data!E854,"DD-MM-YYYY")</f>
        <v>29-08-2024</v>
      </c>
    </row>
    <row r="855" spans="1:5" x14ac:dyDescent="0.3">
      <c r="A855">
        <v>1853</v>
      </c>
      <c r="B855" t="str">
        <f>IF(TRIM(Raw_Data!B855)="","Unknown",PROPER(TRIM(Raw_Data!B855)))</f>
        <v>Keyboard</v>
      </c>
      <c r="C855" t="str">
        <f>IF(TRIM(Raw_Data!C855)="","South",TRIM(Raw_Data!C855))</f>
        <v>West</v>
      </c>
      <c r="D855">
        <f>IF(TRIM(Raw_Data!D855)="",30435.80739,Raw_Data!D855)</f>
        <v>43748.92</v>
      </c>
      <c r="E855" t="str">
        <f>TEXT(Raw_Data!E855,"DD-MM-YYYY")</f>
        <v>28-10-2024</v>
      </c>
    </row>
    <row r="856" spans="1:5" x14ac:dyDescent="0.3">
      <c r="A856">
        <v>1854</v>
      </c>
      <c r="B856" t="str">
        <f>IF(TRIM(Raw_Data!B856)="","Unknown",PROPER(TRIM(Raw_Data!B856)))</f>
        <v>Unknown</v>
      </c>
      <c r="C856" t="str">
        <f>IF(TRIM(Raw_Data!C856)="","South",TRIM(Raw_Data!C856))</f>
        <v>North</v>
      </c>
      <c r="D856">
        <f>IF(TRIM(Raw_Data!D856)="",30435.80739,Raw_Data!D856)</f>
        <v>34370.61</v>
      </c>
      <c r="E856" t="str">
        <f>TEXT(Raw_Data!E856,"DD-MM-YYYY")</f>
        <v>06-08-2024</v>
      </c>
    </row>
    <row r="857" spans="1:5" x14ac:dyDescent="0.3">
      <c r="A857">
        <v>1855</v>
      </c>
      <c r="B857" t="str">
        <f>IF(TRIM(Raw_Data!B857)="","Unknown",PROPER(TRIM(Raw_Data!B857)))</f>
        <v>Mouse</v>
      </c>
      <c r="C857" t="str">
        <f>IF(TRIM(Raw_Data!C857)="","South",TRIM(Raw_Data!C857))</f>
        <v>North</v>
      </c>
      <c r="D857">
        <f>IF(TRIM(Raw_Data!D857)="",30435.80739,Raw_Data!D857)</f>
        <v>29547.15</v>
      </c>
      <c r="E857" t="str">
        <f>TEXT(Raw_Data!E857,"DD-MM-YYYY")</f>
        <v>08-08-2024</v>
      </c>
    </row>
    <row r="858" spans="1:5" x14ac:dyDescent="0.3">
      <c r="A858">
        <v>1856</v>
      </c>
      <c r="B858" t="str">
        <f>IF(TRIM(Raw_Data!B858)="","Unknown",PROPER(TRIM(Raw_Data!B858)))</f>
        <v>Monitor</v>
      </c>
      <c r="C858" t="str">
        <f>IF(TRIM(Raw_Data!C858)="","South",TRIM(Raw_Data!C858))</f>
        <v>North</v>
      </c>
      <c r="D858">
        <f>IF(TRIM(Raw_Data!D858)="",30435.80739,Raw_Data!D858)</f>
        <v>2728.67</v>
      </c>
      <c r="E858" t="str">
        <f>TEXT(Raw_Data!E858,"DD-MM-YYYY")</f>
        <v>04-09-2024</v>
      </c>
    </row>
    <row r="859" spans="1:5" x14ac:dyDescent="0.3">
      <c r="A859">
        <v>1857</v>
      </c>
      <c r="B859" t="str">
        <f>IF(TRIM(Raw_Data!B859)="","Unknown",PROPER(TRIM(Raw_Data!B859)))</f>
        <v>Laptop</v>
      </c>
      <c r="C859" t="str">
        <f>IF(TRIM(Raw_Data!C859)="","South",TRIM(Raw_Data!C859))</f>
        <v>West</v>
      </c>
      <c r="D859">
        <f>IF(TRIM(Raw_Data!D859)="",30435.80739,Raw_Data!D859)</f>
        <v>19609.57</v>
      </c>
      <c r="E859" t="str">
        <f>TEXT(Raw_Data!E859,"DD-MM-YYYY")</f>
        <v>12-01-2024</v>
      </c>
    </row>
    <row r="860" spans="1:5" x14ac:dyDescent="0.3">
      <c r="A860">
        <v>1858</v>
      </c>
      <c r="B860" t="str">
        <f>IF(TRIM(Raw_Data!B860)="","Unknown",PROPER(TRIM(Raw_Data!B860)))</f>
        <v>Keyboard</v>
      </c>
      <c r="C860" t="str">
        <f>IF(TRIM(Raw_Data!C860)="","South",TRIM(Raw_Data!C860))</f>
        <v>South</v>
      </c>
      <c r="D860">
        <f>IF(TRIM(Raw_Data!D860)="",30435.80739,Raw_Data!D860)</f>
        <v>6569.45</v>
      </c>
      <c r="E860" t="str">
        <f>TEXT(Raw_Data!E860,"DD-MM-YYYY")</f>
        <v>07-11-2024</v>
      </c>
    </row>
    <row r="861" spans="1:5" x14ac:dyDescent="0.3">
      <c r="A861">
        <v>1859</v>
      </c>
      <c r="B861" t="str">
        <f>IF(TRIM(Raw_Data!B861)="","Unknown",PROPER(TRIM(Raw_Data!B861)))</f>
        <v>Keyboard</v>
      </c>
      <c r="C861" t="str">
        <f>IF(TRIM(Raw_Data!C861)="","South",TRIM(Raw_Data!C861))</f>
        <v>West</v>
      </c>
      <c r="D861">
        <f>IF(TRIM(Raw_Data!D861)="",30435.80739,Raw_Data!D861)</f>
        <v>39069.019999999997</v>
      </c>
      <c r="E861" t="str">
        <f>TEXT(Raw_Data!E861,"DD-MM-YYYY")</f>
        <v>23-12-2024</v>
      </c>
    </row>
    <row r="862" spans="1:5" x14ac:dyDescent="0.3">
      <c r="A862">
        <v>1860</v>
      </c>
      <c r="B862" t="str">
        <f>IF(TRIM(Raw_Data!B862)="","Unknown",PROPER(TRIM(Raw_Data!B862)))</f>
        <v>Keyboard</v>
      </c>
      <c r="C862" t="str">
        <f>IF(TRIM(Raw_Data!C862)="","South",TRIM(Raw_Data!C862))</f>
        <v>South</v>
      </c>
      <c r="D862">
        <f>IF(TRIM(Raw_Data!D862)="",30435.80739,Raw_Data!D862)</f>
        <v>42874.49</v>
      </c>
      <c r="E862" t="str">
        <f>TEXT(Raw_Data!E862,"DD-MM-YYYY")</f>
        <v>12-04-2024</v>
      </c>
    </row>
    <row r="863" spans="1:5" x14ac:dyDescent="0.3">
      <c r="A863">
        <v>1861</v>
      </c>
      <c r="B863" t="str">
        <f>IF(TRIM(Raw_Data!B863)="","Unknown",PROPER(TRIM(Raw_Data!B863)))</f>
        <v>Keyboard</v>
      </c>
      <c r="C863" t="str">
        <f>IF(TRIM(Raw_Data!C863)="","South",TRIM(Raw_Data!C863))</f>
        <v>East</v>
      </c>
      <c r="D863">
        <f>IF(TRIM(Raw_Data!D863)="",30435.80739,Raw_Data!D863)</f>
        <v>28034.080000000002</v>
      </c>
      <c r="E863" t="str">
        <f>TEXT(Raw_Data!E863,"DD-MM-YYYY")</f>
        <v>28-11-2024</v>
      </c>
    </row>
    <row r="864" spans="1:5" x14ac:dyDescent="0.3">
      <c r="A864">
        <v>1862</v>
      </c>
      <c r="B864" t="str">
        <f>IF(TRIM(Raw_Data!B864)="","Unknown",PROPER(TRIM(Raw_Data!B864)))</f>
        <v>Tablet</v>
      </c>
      <c r="C864" t="str">
        <f>IF(TRIM(Raw_Data!C864)="","South",TRIM(Raw_Data!C864))</f>
        <v>East</v>
      </c>
      <c r="D864">
        <f>IF(TRIM(Raw_Data!D864)="",30435.80739,Raw_Data!D864)</f>
        <v>35346.54</v>
      </c>
      <c r="E864" t="str">
        <f>TEXT(Raw_Data!E864,"DD-MM-YYYY")</f>
        <v>22-05-2024</v>
      </c>
    </row>
    <row r="865" spans="1:5" x14ac:dyDescent="0.3">
      <c r="A865">
        <v>1863</v>
      </c>
      <c r="B865" t="str">
        <f>IF(TRIM(Raw_Data!B865)="","Unknown",PROPER(TRIM(Raw_Data!B865)))</f>
        <v>Mouse</v>
      </c>
      <c r="C865" t="str">
        <f>IF(TRIM(Raw_Data!C865)="","South",TRIM(Raw_Data!C865))</f>
        <v>South</v>
      </c>
      <c r="D865">
        <f>IF(TRIM(Raw_Data!D865)="",30435.80739,Raw_Data!D865)</f>
        <v>56195.86</v>
      </c>
      <c r="E865" t="str">
        <f>TEXT(Raw_Data!E865,"DD-MM-YYYY")</f>
        <v>26-09-2024</v>
      </c>
    </row>
    <row r="866" spans="1:5" x14ac:dyDescent="0.3">
      <c r="A866">
        <v>1864</v>
      </c>
      <c r="B866" t="str">
        <f>IF(TRIM(Raw_Data!B866)="","Unknown",PROPER(TRIM(Raw_Data!B866)))</f>
        <v>Mouse</v>
      </c>
      <c r="C866" t="str">
        <f>IF(TRIM(Raw_Data!C866)="","South",TRIM(Raw_Data!C866))</f>
        <v>West</v>
      </c>
      <c r="D866">
        <f>IF(TRIM(Raw_Data!D866)="",30435.80739,Raw_Data!D866)</f>
        <v>53500.35</v>
      </c>
      <c r="E866" t="str">
        <f>TEXT(Raw_Data!E866,"DD-MM-YYYY")</f>
        <v>20-05-2024</v>
      </c>
    </row>
    <row r="867" spans="1:5" x14ac:dyDescent="0.3">
      <c r="A867">
        <v>1865</v>
      </c>
      <c r="B867" t="str">
        <f>IF(TRIM(Raw_Data!B867)="","Unknown",PROPER(TRIM(Raw_Data!B867)))</f>
        <v>Tablet</v>
      </c>
      <c r="C867" t="str">
        <f>IF(TRIM(Raw_Data!C867)="","South",TRIM(Raw_Data!C867))</f>
        <v>North</v>
      </c>
      <c r="D867">
        <f>IF(TRIM(Raw_Data!D867)="",30435.80739,Raw_Data!D867)</f>
        <v>44815.519999999997</v>
      </c>
      <c r="E867" t="str">
        <f>TEXT(Raw_Data!E867,"DD-MM-YYYY")</f>
        <v>06-02-2024</v>
      </c>
    </row>
    <row r="868" spans="1:5" x14ac:dyDescent="0.3">
      <c r="A868">
        <v>1866</v>
      </c>
      <c r="B868" t="str">
        <f>IF(TRIM(Raw_Data!B868)="","Unknown",PROPER(TRIM(Raw_Data!B868)))</f>
        <v>Tablet</v>
      </c>
      <c r="C868" t="str">
        <f>IF(TRIM(Raw_Data!C868)="","South",TRIM(Raw_Data!C868))</f>
        <v>South</v>
      </c>
      <c r="D868">
        <f>IF(TRIM(Raw_Data!D868)="",30435.80739,Raw_Data!D868)</f>
        <v>27134.11</v>
      </c>
      <c r="E868" t="str">
        <f>TEXT(Raw_Data!E868,"DD-MM-YYYY")</f>
        <v>25-08-2024</v>
      </c>
    </row>
    <row r="869" spans="1:5" x14ac:dyDescent="0.3">
      <c r="A869">
        <v>1867</v>
      </c>
      <c r="B869" t="str">
        <f>IF(TRIM(Raw_Data!B869)="","Unknown",PROPER(TRIM(Raw_Data!B869)))</f>
        <v>Mouse</v>
      </c>
      <c r="C869" t="str">
        <f>IF(TRIM(Raw_Data!C869)="","South",TRIM(Raw_Data!C869))</f>
        <v>West</v>
      </c>
      <c r="D869">
        <f>IF(TRIM(Raw_Data!D869)="",30435.80739,Raw_Data!D869)</f>
        <v>13007.16</v>
      </c>
      <c r="E869" t="str">
        <f>TEXT(Raw_Data!E869,"DD-MM-YYYY")</f>
        <v>20-01-2024</v>
      </c>
    </row>
    <row r="870" spans="1:5" x14ac:dyDescent="0.3">
      <c r="A870">
        <v>1868</v>
      </c>
      <c r="B870" t="str">
        <f>IF(TRIM(Raw_Data!B870)="","Unknown",PROPER(TRIM(Raw_Data!B870)))</f>
        <v>Unknown</v>
      </c>
      <c r="C870" t="str">
        <f>IF(TRIM(Raw_Data!C870)="","South",TRIM(Raw_Data!C870))</f>
        <v>South</v>
      </c>
      <c r="D870">
        <f>IF(TRIM(Raw_Data!D870)="",30435.80739,Raw_Data!D870)</f>
        <v>45138.23</v>
      </c>
      <c r="E870" t="str">
        <f>TEXT(Raw_Data!E870,"DD-MM-YYYY")</f>
        <v>26-10-2024</v>
      </c>
    </row>
    <row r="871" spans="1:5" x14ac:dyDescent="0.3">
      <c r="A871">
        <v>1869</v>
      </c>
      <c r="B871" t="str">
        <f>IF(TRIM(Raw_Data!B871)="","Unknown",PROPER(TRIM(Raw_Data!B871)))</f>
        <v>Monitor</v>
      </c>
      <c r="C871" t="str">
        <f>IF(TRIM(Raw_Data!C871)="","South",TRIM(Raw_Data!C871))</f>
        <v>East</v>
      </c>
      <c r="D871">
        <f>IF(TRIM(Raw_Data!D871)="",30435.80739,Raw_Data!D871)</f>
        <v>46720.78</v>
      </c>
      <c r="E871" t="str">
        <f>TEXT(Raw_Data!E871,"DD-MM-YYYY")</f>
        <v>12-04-2024</v>
      </c>
    </row>
    <row r="872" spans="1:5" x14ac:dyDescent="0.3">
      <c r="A872">
        <v>1870</v>
      </c>
      <c r="B872" t="str">
        <f>IF(TRIM(Raw_Data!B872)="","Unknown",PROPER(TRIM(Raw_Data!B872)))</f>
        <v>Laptop</v>
      </c>
      <c r="C872" t="str">
        <f>IF(TRIM(Raw_Data!C872)="","South",TRIM(Raw_Data!C872))</f>
        <v>North</v>
      </c>
      <c r="D872">
        <f>IF(TRIM(Raw_Data!D872)="",30435.80739,Raw_Data!D872)</f>
        <v>26728.16</v>
      </c>
      <c r="E872" t="str">
        <f>TEXT(Raw_Data!E872,"DD-MM-YYYY")</f>
        <v>13-11-2024</v>
      </c>
    </row>
    <row r="873" spans="1:5" x14ac:dyDescent="0.3">
      <c r="A873">
        <v>1871</v>
      </c>
      <c r="B873" t="str">
        <f>IF(TRIM(Raw_Data!B873)="","Unknown",PROPER(TRIM(Raw_Data!B873)))</f>
        <v>Laptop</v>
      </c>
      <c r="C873" t="str">
        <f>IF(TRIM(Raw_Data!C873)="","South",TRIM(Raw_Data!C873))</f>
        <v>South</v>
      </c>
      <c r="D873">
        <f>IF(TRIM(Raw_Data!D873)="",30435.80739,Raw_Data!D873)</f>
        <v>15876.49</v>
      </c>
      <c r="E873" t="str">
        <f>TEXT(Raw_Data!E873,"DD-MM-YYYY")</f>
        <v>30-04-2024</v>
      </c>
    </row>
    <row r="874" spans="1:5" x14ac:dyDescent="0.3">
      <c r="A874">
        <v>1872</v>
      </c>
      <c r="B874" t="str">
        <f>IF(TRIM(Raw_Data!B874)="","Unknown",PROPER(TRIM(Raw_Data!B874)))</f>
        <v>Tablet</v>
      </c>
      <c r="C874" t="str">
        <f>IF(TRIM(Raw_Data!C874)="","South",TRIM(Raw_Data!C874))</f>
        <v>South</v>
      </c>
      <c r="D874">
        <f>IF(TRIM(Raw_Data!D874)="",30435.80739,Raw_Data!D874)</f>
        <v>32242.48</v>
      </c>
      <c r="E874" t="str">
        <f>TEXT(Raw_Data!E874,"DD-MM-YYYY")</f>
        <v>15-02-2024</v>
      </c>
    </row>
    <row r="875" spans="1:5" x14ac:dyDescent="0.3">
      <c r="A875">
        <v>1873</v>
      </c>
      <c r="B875" t="str">
        <f>IF(TRIM(Raw_Data!B875)="","Unknown",PROPER(TRIM(Raw_Data!B875)))</f>
        <v>Tablet</v>
      </c>
      <c r="C875" t="str">
        <f>IF(TRIM(Raw_Data!C875)="","South",TRIM(Raw_Data!C875))</f>
        <v>East</v>
      </c>
      <c r="D875">
        <f>IF(TRIM(Raw_Data!D875)="",30435.80739,Raw_Data!D875)</f>
        <v>37720.18</v>
      </c>
      <c r="E875" t="str">
        <f>TEXT(Raw_Data!E875,"DD-MM-YYYY")</f>
        <v>09-06-2024</v>
      </c>
    </row>
    <row r="876" spans="1:5" x14ac:dyDescent="0.3">
      <c r="A876">
        <v>1874</v>
      </c>
      <c r="B876" t="str">
        <f>IF(TRIM(Raw_Data!B876)="","Unknown",PROPER(TRIM(Raw_Data!B876)))</f>
        <v>Mouse</v>
      </c>
      <c r="C876" t="str">
        <f>IF(TRIM(Raw_Data!C876)="","South",TRIM(Raw_Data!C876))</f>
        <v>South</v>
      </c>
      <c r="D876">
        <f>IF(TRIM(Raw_Data!D876)="",30435.80739,Raw_Data!D876)</f>
        <v>19897.63</v>
      </c>
      <c r="E876" t="str">
        <f>TEXT(Raw_Data!E876,"DD-MM-YYYY")</f>
        <v>15-02-2024</v>
      </c>
    </row>
    <row r="877" spans="1:5" x14ac:dyDescent="0.3">
      <c r="A877">
        <v>1875</v>
      </c>
      <c r="B877" t="str">
        <f>IF(TRIM(Raw_Data!B877)="","Unknown",PROPER(TRIM(Raw_Data!B877)))</f>
        <v>Monitor</v>
      </c>
      <c r="C877" t="str">
        <f>IF(TRIM(Raw_Data!C877)="","South",TRIM(Raw_Data!C877))</f>
        <v>West</v>
      </c>
      <c r="D877">
        <f>IF(TRIM(Raw_Data!D877)="",30435.80739,Raw_Data!D877)</f>
        <v>41775.25</v>
      </c>
      <c r="E877" t="str">
        <f>TEXT(Raw_Data!E877,"DD-MM-YYYY")</f>
        <v>06-06-2024</v>
      </c>
    </row>
    <row r="878" spans="1:5" x14ac:dyDescent="0.3">
      <c r="A878">
        <v>1876</v>
      </c>
      <c r="B878" t="str">
        <f>IF(TRIM(Raw_Data!B878)="","Unknown",PROPER(TRIM(Raw_Data!B878)))</f>
        <v>Monitor</v>
      </c>
      <c r="C878" t="str">
        <f>IF(TRIM(Raw_Data!C878)="","South",TRIM(Raw_Data!C878))</f>
        <v>North</v>
      </c>
      <c r="D878">
        <f>IF(TRIM(Raw_Data!D878)="",30435.80739,Raw_Data!D878)</f>
        <v>56107.95</v>
      </c>
      <c r="E878" t="str">
        <f>TEXT(Raw_Data!E878,"DD-MM-YYYY")</f>
        <v>15-08-2024</v>
      </c>
    </row>
    <row r="879" spans="1:5" x14ac:dyDescent="0.3">
      <c r="A879">
        <v>1877</v>
      </c>
      <c r="B879" t="str">
        <f>IF(TRIM(Raw_Data!B879)="","Unknown",PROPER(TRIM(Raw_Data!B879)))</f>
        <v>Tablet</v>
      </c>
      <c r="C879" t="str">
        <f>IF(TRIM(Raw_Data!C879)="","South",TRIM(Raw_Data!C879))</f>
        <v>North</v>
      </c>
      <c r="D879">
        <f>IF(TRIM(Raw_Data!D879)="",30435.80739,Raw_Data!D879)</f>
        <v>45472.32</v>
      </c>
      <c r="E879" t="str">
        <f>TEXT(Raw_Data!E879,"DD-MM-YYYY")</f>
        <v>24-05-2024</v>
      </c>
    </row>
    <row r="880" spans="1:5" x14ac:dyDescent="0.3">
      <c r="A880">
        <v>1878</v>
      </c>
      <c r="B880" t="str">
        <f>IF(TRIM(Raw_Data!B880)="","Unknown",PROPER(TRIM(Raw_Data!B880)))</f>
        <v>Mouse</v>
      </c>
      <c r="C880" t="str">
        <f>IF(TRIM(Raw_Data!C880)="","South",TRIM(Raw_Data!C880))</f>
        <v>North</v>
      </c>
      <c r="D880">
        <f>IF(TRIM(Raw_Data!D880)="",30435.80739,Raw_Data!D880)</f>
        <v>37731.949999999997</v>
      </c>
      <c r="E880" t="str">
        <f>TEXT(Raw_Data!E880,"DD-MM-YYYY")</f>
        <v>23-03-2024</v>
      </c>
    </row>
    <row r="881" spans="1:5" x14ac:dyDescent="0.3">
      <c r="A881">
        <v>1879</v>
      </c>
      <c r="B881" t="str">
        <f>IF(TRIM(Raw_Data!B881)="","Unknown",PROPER(TRIM(Raw_Data!B881)))</f>
        <v>Tablet</v>
      </c>
      <c r="C881" t="str">
        <f>IF(TRIM(Raw_Data!C881)="","South",TRIM(Raw_Data!C881))</f>
        <v>North</v>
      </c>
      <c r="D881">
        <f>IF(TRIM(Raw_Data!D881)="",30435.80739,Raw_Data!D881)</f>
        <v>17340.32</v>
      </c>
      <c r="E881" t="str">
        <f>TEXT(Raw_Data!E881,"DD-MM-YYYY")</f>
        <v>24-08-2024</v>
      </c>
    </row>
    <row r="882" spans="1:5" x14ac:dyDescent="0.3">
      <c r="A882">
        <v>1880</v>
      </c>
      <c r="B882" t="str">
        <f>IF(TRIM(Raw_Data!B882)="","Unknown",PROPER(TRIM(Raw_Data!B882)))</f>
        <v>Keyboard</v>
      </c>
      <c r="C882" t="str">
        <f>IF(TRIM(Raw_Data!C882)="","South",TRIM(Raw_Data!C882))</f>
        <v>North</v>
      </c>
      <c r="D882">
        <f>IF(TRIM(Raw_Data!D882)="",30435.80739,Raw_Data!D882)</f>
        <v>22938.37</v>
      </c>
      <c r="E882" t="str">
        <f>TEXT(Raw_Data!E882,"DD-MM-YYYY")</f>
        <v>25-01-2024</v>
      </c>
    </row>
    <row r="883" spans="1:5" x14ac:dyDescent="0.3">
      <c r="A883">
        <v>1881</v>
      </c>
      <c r="B883" t="str">
        <f>IF(TRIM(Raw_Data!B883)="","Unknown",PROPER(TRIM(Raw_Data!B883)))</f>
        <v>Mouse</v>
      </c>
      <c r="C883" t="str">
        <f>IF(TRIM(Raw_Data!C883)="","South",TRIM(Raw_Data!C883))</f>
        <v>North</v>
      </c>
      <c r="D883">
        <f>IF(TRIM(Raw_Data!D883)="",30435.80739,Raw_Data!D883)</f>
        <v>50625.33</v>
      </c>
      <c r="E883" t="str">
        <f>TEXT(Raw_Data!E883,"DD-MM-YYYY")</f>
        <v>24-11-2024</v>
      </c>
    </row>
    <row r="884" spans="1:5" x14ac:dyDescent="0.3">
      <c r="A884">
        <v>1882</v>
      </c>
      <c r="B884" t="str">
        <f>IF(TRIM(Raw_Data!B884)="","Unknown",PROPER(TRIM(Raw_Data!B884)))</f>
        <v>Mouse</v>
      </c>
      <c r="C884" t="str">
        <f>IF(TRIM(Raw_Data!C884)="","South",TRIM(Raw_Data!C884))</f>
        <v>West</v>
      </c>
      <c r="D884">
        <f>IF(TRIM(Raw_Data!D884)="",30435.80739,Raw_Data!D884)</f>
        <v>41307.360000000001</v>
      </c>
      <c r="E884" t="str">
        <f>TEXT(Raw_Data!E884,"DD-MM-YYYY")</f>
        <v>09-12-2024</v>
      </c>
    </row>
    <row r="885" spans="1:5" x14ac:dyDescent="0.3">
      <c r="A885">
        <v>1883</v>
      </c>
      <c r="B885" t="str">
        <f>IF(TRIM(Raw_Data!B885)="","Unknown",PROPER(TRIM(Raw_Data!B885)))</f>
        <v>Laptop</v>
      </c>
      <c r="C885" t="str">
        <f>IF(TRIM(Raw_Data!C885)="","South",TRIM(Raw_Data!C885))</f>
        <v>South</v>
      </c>
      <c r="D885">
        <f>IF(TRIM(Raw_Data!D885)="",30435.80739,Raw_Data!D885)</f>
        <v>43902.61</v>
      </c>
      <c r="E885" t="str">
        <f>TEXT(Raw_Data!E885,"DD-MM-YYYY")</f>
        <v>15-01-2024</v>
      </c>
    </row>
    <row r="886" spans="1:5" x14ac:dyDescent="0.3">
      <c r="A886">
        <v>1884</v>
      </c>
      <c r="B886" t="str">
        <f>IF(TRIM(Raw_Data!B886)="","Unknown",PROPER(TRIM(Raw_Data!B886)))</f>
        <v>Monitor</v>
      </c>
      <c r="C886" t="str">
        <f>IF(TRIM(Raw_Data!C886)="","South",TRIM(Raw_Data!C886))</f>
        <v>West</v>
      </c>
      <c r="D886">
        <f>IF(TRIM(Raw_Data!D886)="",30435.80739,Raw_Data!D886)</f>
        <v>54557.3</v>
      </c>
      <c r="E886" t="str">
        <f>TEXT(Raw_Data!E886,"DD-MM-YYYY")</f>
        <v>03-05-2024</v>
      </c>
    </row>
    <row r="887" spans="1:5" x14ac:dyDescent="0.3">
      <c r="A887">
        <v>1885</v>
      </c>
      <c r="B887" t="str">
        <f>IF(TRIM(Raw_Data!B887)="","Unknown",PROPER(TRIM(Raw_Data!B887)))</f>
        <v>Laptop</v>
      </c>
      <c r="C887" t="str">
        <f>IF(TRIM(Raw_Data!C887)="","South",TRIM(Raw_Data!C887))</f>
        <v>South</v>
      </c>
      <c r="D887">
        <f>IF(TRIM(Raw_Data!D887)="",30435.80739,Raw_Data!D887)</f>
        <v>1536.79</v>
      </c>
      <c r="E887" t="str">
        <f>TEXT(Raw_Data!E887,"DD-MM-YYYY")</f>
        <v>11-03-2024</v>
      </c>
    </row>
    <row r="888" spans="1:5" x14ac:dyDescent="0.3">
      <c r="A888">
        <v>1886</v>
      </c>
      <c r="B888" t="str">
        <f>IF(TRIM(Raw_Data!B888)="","Unknown",PROPER(TRIM(Raw_Data!B888)))</f>
        <v>Laptop</v>
      </c>
      <c r="C888" t="str">
        <f>IF(TRIM(Raw_Data!C888)="","South",TRIM(Raw_Data!C888))</f>
        <v>North</v>
      </c>
      <c r="D888">
        <f>IF(TRIM(Raw_Data!D888)="",30435.80739,Raw_Data!D888)</f>
        <v>58262.73</v>
      </c>
      <c r="E888" t="str">
        <f>TEXT(Raw_Data!E888,"DD-MM-YYYY")</f>
        <v>08-11-2024</v>
      </c>
    </row>
    <row r="889" spans="1:5" x14ac:dyDescent="0.3">
      <c r="A889">
        <v>1887</v>
      </c>
      <c r="B889" t="str">
        <f>IF(TRIM(Raw_Data!B889)="","Unknown",PROPER(TRIM(Raw_Data!B889)))</f>
        <v>Monitor</v>
      </c>
      <c r="C889" t="str">
        <f>IF(TRIM(Raw_Data!C889)="","South",TRIM(Raw_Data!C889))</f>
        <v>South</v>
      </c>
      <c r="D889">
        <f>IF(TRIM(Raw_Data!D889)="",30435.80739,Raw_Data!D889)</f>
        <v>9521.75</v>
      </c>
      <c r="E889" t="str">
        <f>TEXT(Raw_Data!E889,"DD-MM-YYYY")</f>
        <v>01-04-2024</v>
      </c>
    </row>
    <row r="890" spans="1:5" x14ac:dyDescent="0.3">
      <c r="A890">
        <v>1888</v>
      </c>
      <c r="B890" t="str">
        <f>IF(TRIM(Raw_Data!B890)="","Unknown",PROPER(TRIM(Raw_Data!B890)))</f>
        <v>Tablet</v>
      </c>
      <c r="C890" t="str">
        <f>IF(TRIM(Raw_Data!C890)="","South",TRIM(Raw_Data!C890))</f>
        <v>North</v>
      </c>
      <c r="D890">
        <f>IF(TRIM(Raw_Data!D890)="",30435.80739,Raw_Data!D890)</f>
        <v>30435.807390000002</v>
      </c>
      <c r="E890" t="str">
        <f>TEXT(Raw_Data!E890,"DD-MM-YYYY")</f>
        <v>13-10-2024</v>
      </c>
    </row>
    <row r="891" spans="1:5" x14ac:dyDescent="0.3">
      <c r="A891">
        <v>1889</v>
      </c>
      <c r="B891" t="str">
        <f>IF(TRIM(Raw_Data!B891)="","Unknown",PROPER(TRIM(Raw_Data!B891)))</f>
        <v>Laptop</v>
      </c>
      <c r="C891" t="str">
        <f>IF(TRIM(Raw_Data!C891)="","South",TRIM(Raw_Data!C891))</f>
        <v>North</v>
      </c>
      <c r="D891">
        <f>IF(TRIM(Raw_Data!D891)="",30435.80739,Raw_Data!D891)</f>
        <v>11844.96</v>
      </c>
      <c r="E891" t="str">
        <f>TEXT(Raw_Data!E891,"DD-MM-YYYY")</f>
        <v>07-12-2024</v>
      </c>
    </row>
    <row r="892" spans="1:5" x14ac:dyDescent="0.3">
      <c r="A892">
        <v>1890</v>
      </c>
      <c r="B892" t="str">
        <f>IF(TRIM(Raw_Data!B892)="","Unknown",PROPER(TRIM(Raw_Data!B892)))</f>
        <v>Monitor</v>
      </c>
      <c r="C892" t="str">
        <f>IF(TRIM(Raw_Data!C892)="","South",TRIM(Raw_Data!C892))</f>
        <v>South</v>
      </c>
      <c r="D892">
        <f>IF(TRIM(Raw_Data!D892)="",30435.80739,Raw_Data!D892)</f>
        <v>25794.73</v>
      </c>
      <c r="E892" t="str">
        <f>TEXT(Raw_Data!E892,"DD-MM-YYYY")</f>
        <v>15-06-2024</v>
      </c>
    </row>
    <row r="893" spans="1:5" x14ac:dyDescent="0.3">
      <c r="A893">
        <v>1891</v>
      </c>
      <c r="B893" t="str">
        <f>IF(TRIM(Raw_Data!B893)="","Unknown",PROPER(TRIM(Raw_Data!B893)))</f>
        <v>Laptop</v>
      </c>
      <c r="C893" t="str">
        <f>IF(TRIM(Raw_Data!C893)="","South",TRIM(Raw_Data!C893))</f>
        <v>North</v>
      </c>
      <c r="D893">
        <f>IF(TRIM(Raw_Data!D893)="",30435.80739,Raw_Data!D893)</f>
        <v>55282.25</v>
      </c>
      <c r="E893" t="str">
        <f>TEXT(Raw_Data!E893,"DD-MM-YYYY")</f>
        <v>05-12-2024</v>
      </c>
    </row>
    <row r="894" spans="1:5" x14ac:dyDescent="0.3">
      <c r="A894">
        <v>1892</v>
      </c>
      <c r="B894" t="str">
        <f>IF(TRIM(Raw_Data!B894)="","Unknown",PROPER(TRIM(Raw_Data!B894)))</f>
        <v>Monitor</v>
      </c>
      <c r="C894" t="str">
        <f>IF(TRIM(Raw_Data!C894)="","South",TRIM(Raw_Data!C894))</f>
        <v>South</v>
      </c>
      <c r="D894">
        <f>IF(TRIM(Raw_Data!D894)="",30435.80739,Raw_Data!D894)</f>
        <v>30607.4</v>
      </c>
      <c r="E894" t="str">
        <f>TEXT(Raw_Data!E894,"DD-MM-YYYY")</f>
        <v>29-05-2024</v>
      </c>
    </row>
    <row r="895" spans="1:5" x14ac:dyDescent="0.3">
      <c r="A895">
        <v>1893</v>
      </c>
      <c r="B895" t="str">
        <f>IF(TRIM(Raw_Data!B895)="","Unknown",PROPER(TRIM(Raw_Data!B895)))</f>
        <v>Mouse</v>
      </c>
      <c r="C895" t="str">
        <f>IF(TRIM(Raw_Data!C895)="","South",TRIM(Raw_Data!C895))</f>
        <v>East</v>
      </c>
      <c r="D895">
        <f>IF(TRIM(Raw_Data!D895)="",30435.80739,Raw_Data!D895)</f>
        <v>18798.07</v>
      </c>
      <c r="E895" t="str">
        <f>TEXT(Raw_Data!E895,"DD-MM-YYYY")</f>
        <v>26-08-2024</v>
      </c>
    </row>
    <row r="896" spans="1:5" x14ac:dyDescent="0.3">
      <c r="A896">
        <v>1894</v>
      </c>
      <c r="B896" t="str">
        <f>IF(TRIM(Raw_Data!B896)="","Unknown",PROPER(TRIM(Raw_Data!B896)))</f>
        <v>Monitor</v>
      </c>
      <c r="C896" t="str">
        <f>IF(TRIM(Raw_Data!C896)="","South",TRIM(Raw_Data!C896))</f>
        <v>South</v>
      </c>
      <c r="D896">
        <f>IF(TRIM(Raw_Data!D896)="",30435.80739,Raw_Data!D896)</f>
        <v>54212.66</v>
      </c>
      <c r="E896" t="str">
        <f>TEXT(Raw_Data!E896,"DD-MM-YYYY")</f>
        <v>22-10-2024</v>
      </c>
    </row>
    <row r="897" spans="1:5" x14ac:dyDescent="0.3">
      <c r="A897">
        <v>1895</v>
      </c>
      <c r="B897" t="str">
        <f>IF(TRIM(Raw_Data!B897)="","Unknown",PROPER(TRIM(Raw_Data!B897)))</f>
        <v>Tablet</v>
      </c>
      <c r="C897" t="str">
        <f>IF(TRIM(Raw_Data!C897)="","South",TRIM(Raw_Data!C897))</f>
        <v>East</v>
      </c>
      <c r="D897">
        <f>IF(TRIM(Raw_Data!D897)="",30435.80739,Raw_Data!D897)</f>
        <v>8614.84</v>
      </c>
      <c r="E897" t="str">
        <f>TEXT(Raw_Data!E897,"DD-MM-YYYY")</f>
        <v>21-12-2024</v>
      </c>
    </row>
    <row r="898" spans="1:5" x14ac:dyDescent="0.3">
      <c r="A898">
        <v>1896</v>
      </c>
      <c r="B898" t="str">
        <f>IF(TRIM(Raw_Data!B898)="","Unknown",PROPER(TRIM(Raw_Data!B898)))</f>
        <v>Laptop</v>
      </c>
      <c r="C898" t="str">
        <f>IF(TRIM(Raw_Data!C898)="","South",TRIM(Raw_Data!C898))</f>
        <v>South</v>
      </c>
      <c r="D898">
        <f>IF(TRIM(Raw_Data!D898)="",30435.80739,Raw_Data!D898)</f>
        <v>30435.807390000002</v>
      </c>
      <c r="E898" t="str">
        <f>TEXT(Raw_Data!E898,"DD-MM-YYYY")</f>
        <v>22-01-2024</v>
      </c>
    </row>
    <row r="899" spans="1:5" x14ac:dyDescent="0.3">
      <c r="A899">
        <v>1897</v>
      </c>
      <c r="B899" t="str">
        <f>IF(TRIM(Raw_Data!B899)="","Unknown",PROPER(TRIM(Raw_Data!B899)))</f>
        <v>Mouse</v>
      </c>
      <c r="C899" t="str">
        <f>IF(TRIM(Raw_Data!C899)="","South",TRIM(Raw_Data!C899))</f>
        <v>South</v>
      </c>
      <c r="D899">
        <f>IF(TRIM(Raw_Data!D899)="",30435.80739,Raw_Data!D899)</f>
        <v>39460.22</v>
      </c>
      <c r="E899" t="str">
        <f>TEXT(Raw_Data!E899,"DD-MM-YYYY")</f>
        <v>14-08-2024</v>
      </c>
    </row>
    <row r="900" spans="1:5" x14ac:dyDescent="0.3">
      <c r="A900">
        <v>1898</v>
      </c>
      <c r="B900" t="str">
        <f>IF(TRIM(Raw_Data!B900)="","Unknown",PROPER(TRIM(Raw_Data!B900)))</f>
        <v>Monitor</v>
      </c>
      <c r="C900" t="str">
        <f>IF(TRIM(Raw_Data!C900)="","South",TRIM(Raw_Data!C900))</f>
        <v>East</v>
      </c>
      <c r="D900">
        <f>IF(TRIM(Raw_Data!D900)="",30435.80739,Raw_Data!D900)</f>
        <v>42272.14</v>
      </c>
      <c r="E900" t="str">
        <f>TEXT(Raw_Data!E900,"DD-MM-YYYY")</f>
        <v>18-05-2024</v>
      </c>
    </row>
    <row r="901" spans="1:5" x14ac:dyDescent="0.3">
      <c r="A901">
        <v>1899</v>
      </c>
      <c r="B901" t="str">
        <f>IF(TRIM(Raw_Data!B901)="","Unknown",PROPER(TRIM(Raw_Data!B901)))</f>
        <v>Monitor</v>
      </c>
      <c r="C901" t="str">
        <f>IF(TRIM(Raw_Data!C901)="","South",TRIM(Raw_Data!C901))</f>
        <v>West</v>
      </c>
      <c r="D901">
        <f>IF(TRIM(Raw_Data!D901)="",30435.80739,Raw_Data!D901)</f>
        <v>36971.65</v>
      </c>
      <c r="E901" t="str">
        <f>TEXT(Raw_Data!E901,"DD-MM-YYYY")</f>
        <v>09-09-2024</v>
      </c>
    </row>
    <row r="902" spans="1:5" x14ac:dyDescent="0.3">
      <c r="A902">
        <v>1900</v>
      </c>
      <c r="B902" t="str">
        <f>IF(TRIM(Raw_Data!B902)="","Unknown",PROPER(TRIM(Raw_Data!B902)))</f>
        <v>Monitor</v>
      </c>
      <c r="C902" t="str">
        <f>IF(TRIM(Raw_Data!C902)="","South",TRIM(Raw_Data!C902))</f>
        <v>East</v>
      </c>
      <c r="D902">
        <f>IF(TRIM(Raw_Data!D902)="",30435.80739,Raw_Data!D902)</f>
        <v>53790.11</v>
      </c>
      <c r="E902" t="str">
        <f>TEXT(Raw_Data!E902,"DD-MM-YYYY")</f>
        <v>14-11-2024</v>
      </c>
    </row>
    <row r="903" spans="1:5" x14ac:dyDescent="0.3">
      <c r="A903">
        <v>1901</v>
      </c>
      <c r="B903" t="str">
        <f>IF(TRIM(Raw_Data!B903)="","Unknown",PROPER(TRIM(Raw_Data!B903)))</f>
        <v>Mouse</v>
      </c>
      <c r="C903" t="str">
        <f>IF(TRIM(Raw_Data!C903)="","South",TRIM(Raw_Data!C903))</f>
        <v>North</v>
      </c>
      <c r="D903">
        <f>IF(TRIM(Raw_Data!D903)="",30435.80739,Raw_Data!D903)</f>
        <v>12682.18</v>
      </c>
      <c r="E903" t="str">
        <f>TEXT(Raw_Data!E903,"DD-MM-YYYY")</f>
        <v>22-03-2024</v>
      </c>
    </row>
    <row r="904" spans="1:5" x14ac:dyDescent="0.3">
      <c r="A904">
        <v>1902</v>
      </c>
      <c r="B904" t="str">
        <f>IF(TRIM(Raw_Data!B904)="","Unknown",PROPER(TRIM(Raw_Data!B904)))</f>
        <v>Monitor</v>
      </c>
      <c r="C904" t="str">
        <f>IF(TRIM(Raw_Data!C904)="","South",TRIM(Raw_Data!C904))</f>
        <v>South</v>
      </c>
      <c r="D904">
        <f>IF(TRIM(Raw_Data!D904)="",30435.80739,Raw_Data!D904)</f>
        <v>8963.73</v>
      </c>
      <c r="E904" t="str">
        <f>TEXT(Raw_Data!E904,"DD-MM-YYYY")</f>
        <v>05-03-2024</v>
      </c>
    </row>
    <row r="905" spans="1:5" x14ac:dyDescent="0.3">
      <c r="A905">
        <v>1903</v>
      </c>
      <c r="B905" t="str">
        <f>IF(TRIM(Raw_Data!B905)="","Unknown",PROPER(TRIM(Raw_Data!B905)))</f>
        <v>Monitor</v>
      </c>
      <c r="C905" t="str">
        <f>IF(TRIM(Raw_Data!C905)="","South",TRIM(Raw_Data!C905))</f>
        <v>East</v>
      </c>
      <c r="D905">
        <f>IF(TRIM(Raw_Data!D905)="",30435.80739,Raw_Data!D905)</f>
        <v>20588.04</v>
      </c>
      <c r="E905" t="str">
        <f>TEXT(Raw_Data!E905,"DD-MM-YYYY")</f>
        <v>04-10-2024</v>
      </c>
    </row>
    <row r="906" spans="1:5" x14ac:dyDescent="0.3">
      <c r="A906">
        <v>1904</v>
      </c>
      <c r="B906" t="str">
        <f>IF(TRIM(Raw_Data!B906)="","Unknown",PROPER(TRIM(Raw_Data!B906)))</f>
        <v>Tablet</v>
      </c>
      <c r="C906" t="str">
        <f>IF(TRIM(Raw_Data!C906)="","South",TRIM(Raw_Data!C906))</f>
        <v>South</v>
      </c>
      <c r="D906">
        <f>IF(TRIM(Raw_Data!D906)="",30435.80739,Raw_Data!D906)</f>
        <v>30435.807390000002</v>
      </c>
      <c r="E906" t="str">
        <f>TEXT(Raw_Data!E906,"DD-MM-YYYY")</f>
        <v>16-12-2024</v>
      </c>
    </row>
    <row r="907" spans="1:5" x14ac:dyDescent="0.3">
      <c r="A907">
        <v>1905</v>
      </c>
      <c r="B907" t="str">
        <f>IF(TRIM(Raw_Data!B907)="","Unknown",PROPER(TRIM(Raw_Data!B907)))</f>
        <v>Mouse</v>
      </c>
      <c r="C907" t="str">
        <f>IF(TRIM(Raw_Data!C907)="","South",TRIM(Raw_Data!C907))</f>
        <v>South</v>
      </c>
      <c r="D907">
        <f>IF(TRIM(Raw_Data!D907)="",30435.80739,Raw_Data!D907)</f>
        <v>52669.99</v>
      </c>
      <c r="E907" t="str">
        <f>TEXT(Raw_Data!E907,"DD-MM-YYYY")</f>
        <v>15-03-2024</v>
      </c>
    </row>
    <row r="908" spans="1:5" x14ac:dyDescent="0.3">
      <c r="A908">
        <v>1906</v>
      </c>
      <c r="B908" t="str">
        <f>IF(TRIM(Raw_Data!B908)="","Unknown",PROPER(TRIM(Raw_Data!B908)))</f>
        <v>Unknown</v>
      </c>
      <c r="C908" t="str">
        <f>IF(TRIM(Raw_Data!C908)="","South",TRIM(Raw_Data!C908))</f>
        <v>East</v>
      </c>
      <c r="D908">
        <f>IF(TRIM(Raw_Data!D908)="",30435.80739,Raw_Data!D908)</f>
        <v>33065.58</v>
      </c>
      <c r="E908" t="str">
        <f>TEXT(Raw_Data!E908,"DD-MM-YYYY")</f>
        <v>17-05-2024</v>
      </c>
    </row>
    <row r="909" spans="1:5" x14ac:dyDescent="0.3">
      <c r="A909">
        <v>1907</v>
      </c>
      <c r="B909" t="str">
        <f>IF(TRIM(Raw_Data!B909)="","Unknown",PROPER(TRIM(Raw_Data!B909)))</f>
        <v>Monitor</v>
      </c>
      <c r="C909" t="str">
        <f>IF(TRIM(Raw_Data!C909)="","South",TRIM(Raw_Data!C909))</f>
        <v>North</v>
      </c>
      <c r="D909">
        <f>IF(TRIM(Raw_Data!D909)="",30435.80739,Raw_Data!D909)</f>
        <v>40049.760000000002</v>
      </c>
      <c r="E909" t="str">
        <f>TEXT(Raw_Data!E909,"DD-MM-YYYY")</f>
        <v>25-02-2024</v>
      </c>
    </row>
    <row r="910" spans="1:5" x14ac:dyDescent="0.3">
      <c r="A910">
        <v>1908</v>
      </c>
      <c r="B910" t="str">
        <f>IF(TRIM(Raw_Data!B910)="","Unknown",PROPER(TRIM(Raw_Data!B910)))</f>
        <v>Unknown</v>
      </c>
      <c r="C910" t="str">
        <f>IF(TRIM(Raw_Data!C910)="","South",TRIM(Raw_Data!C910))</f>
        <v>South</v>
      </c>
      <c r="D910">
        <f>IF(TRIM(Raw_Data!D910)="",30435.80739,Raw_Data!D910)</f>
        <v>24977.97</v>
      </c>
      <c r="E910" t="str">
        <f>TEXT(Raw_Data!E910,"DD-MM-YYYY")</f>
        <v>19-04-2024</v>
      </c>
    </row>
    <row r="911" spans="1:5" x14ac:dyDescent="0.3">
      <c r="A911">
        <v>1909</v>
      </c>
      <c r="B911" t="str">
        <f>IF(TRIM(Raw_Data!B911)="","Unknown",PROPER(TRIM(Raw_Data!B911)))</f>
        <v>Mouse</v>
      </c>
      <c r="C911" t="str">
        <f>IF(TRIM(Raw_Data!C911)="","South",TRIM(Raw_Data!C911))</f>
        <v>North</v>
      </c>
      <c r="D911">
        <f>IF(TRIM(Raw_Data!D911)="",30435.80739,Raw_Data!D911)</f>
        <v>14692.64</v>
      </c>
      <c r="E911" t="str">
        <f>TEXT(Raw_Data!E911,"DD-MM-YYYY")</f>
        <v>29-05-2024</v>
      </c>
    </row>
    <row r="912" spans="1:5" x14ac:dyDescent="0.3">
      <c r="A912">
        <v>1910</v>
      </c>
      <c r="B912" t="str">
        <f>IF(TRIM(Raw_Data!B912)="","Unknown",PROPER(TRIM(Raw_Data!B912)))</f>
        <v>Unknown</v>
      </c>
      <c r="C912" t="str">
        <f>IF(TRIM(Raw_Data!C912)="","South",TRIM(Raw_Data!C912))</f>
        <v>East</v>
      </c>
      <c r="D912">
        <f>IF(TRIM(Raw_Data!D912)="",30435.80739,Raw_Data!D912)</f>
        <v>15374.68</v>
      </c>
      <c r="E912" t="str">
        <f>TEXT(Raw_Data!E912,"DD-MM-YYYY")</f>
        <v>28-09-2024</v>
      </c>
    </row>
    <row r="913" spans="1:5" x14ac:dyDescent="0.3">
      <c r="A913">
        <v>1911</v>
      </c>
      <c r="B913" t="str">
        <f>IF(TRIM(Raw_Data!B913)="","Unknown",PROPER(TRIM(Raw_Data!B913)))</f>
        <v>Mouse</v>
      </c>
      <c r="C913" t="str">
        <f>IF(TRIM(Raw_Data!C913)="","South",TRIM(Raw_Data!C913))</f>
        <v>West</v>
      </c>
      <c r="D913">
        <f>IF(TRIM(Raw_Data!D913)="",30435.80739,Raw_Data!D913)</f>
        <v>20904.189999999999</v>
      </c>
      <c r="E913" t="str">
        <f>TEXT(Raw_Data!E913,"DD-MM-YYYY")</f>
        <v>09-06-2024</v>
      </c>
    </row>
    <row r="914" spans="1:5" x14ac:dyDescent="0.3">
      <c r="A914">
        <v>1694</v>
      </c>
      <c r="B914" t="str">
        <f>IF(TRIM(Raw_Data!B914)="","Unknown",PROPER(TRIM(Raw_Data!B914)))</f>
        <v>Unknown</v>
      </c>
      <c r="C914" t="str">
        <f>IF(TRIM(Raw_Data!C914)="","South",TRIM(Raw_Data!C914))</f>
        <v>North</v>
      </c>
      <c r="D914">
        <f>IF(TRIM(Raw_Data!D914)="",30435.80739,Raw_Data!D914)</f>
        <v>40202.589999999997</v>
      </c>
      <c r="E914" t="str">
        <f>TEXT(Raw_Data!E914,"DD-MM-YYYY")</f>
        <v>17-03-2024</v>
      </c>
    </row>
    <row r="915" spans="1:5" x14ac:dyDescent="0.3">
      <c r="A915">
        <v>1913</v>
      </c>
      <c r="B915" t="str">
        <f>IF(TRIM(Raw_Data!B915)="","Unknown",PROPER(TRIM(Raw_Data!B915)))</f>
        <v>Tablet</v>
      </c>
      <c r="C915" t="str">
        <f>IF(TRIM(Raw_Data!C915)="","South",TRIM(Raw_Data!C915))</f>
        <v>North</v>
      </c>
      <c r="D915">
        <f>IF(TRIM(Raw_Data!D915)="",30435.80739,Raw_Data!D915)</f>
        <v>34641.050000000003</v>
      </c>
      <c r="E915" t="str">
        <f>TEXT(Raw_Data!E915,"DD-MM-YYYY")</f>
        <v>04-05-2024</v>
      </c>
    </row>
    <row r="916" spans="1:5" x14ac:dyDescent="0.3">
      <c r="A916">
        <v>1914</v>
      </c>
      <c r="B916" t="str">
        <f>IF(TRIM(Raw_Data!B916)="","Unknown",PROPER(TRIM(Raw_Data!B916)))</f>
        <v>Mouse</v>
      </c>
      <c r="C916" t="str">
        <f>IF(TRIM(Raw_Data!C916)="","South",TRIM(Raw_Data!C916))</f>
        <v>North</v>
      </c>
      <c r="D916">
        <f>IF(TRIM(Raw_Data!D916)="",30435.80739,Raw_Data!D916)</f>
        <v>7736.84</v>
      </c>
      <c r="E916" t="str">
        <f>TEXT(Raw_Data!E916,"DD-MM-YYYY")</f>
        <v>15-11-2024</v>
      </c>
    </row>
    <row r="917" spans="1:5" x14ac:dyDescent="0.3">
      <c r="A917">
        <v>1863</v>
      </c>
      <c r="B917" t="str">
        <f>IF(TRIM(Raw_Data!B917)="","Unknown",PROPER(TRIM(Raw_Data!B917)))</f>
        <v>Laptop</v>
      </c>
      <c r="C917" t="str">
        <f>IF(TRIM(Raw_Data!C917)="","South",TRIM(Raw_Data!C917))</f>
        <v>West</v>
      </c>
      <c r="D917">
        <f>IF(TRIM(Raw_Data!D917)="",30435.80739,Raw_Data!D917)</f>
        <v>59953.23</v>
      </c>
      <c r="E917" t="str">
        <f>TEXT(Raw_Data!E917,"DD-MM-YYYY")</f>
        <v>29-02-2024</v>
      </c>
    </row>
    <row r="918" spans="1:5" x14ac:dyDescent="0.3">
      <c r="A918">
        <v>1916</v>
      </c>
      <c r="B918" t="str">
        <f>IF(TRIM(Raw_Data!B918)="","Unknown",PROPER(TRIM(Raw_Data!B918)))</f>
        <v>Laptop</v>
      </c>
      <c r="C918" t="str">
        <f>IF(TRIM(Raw_Data!C918)="","South",TRIM(Raw_Data!C918))</f>
        <v>North</v>
      </c>
      <c r="D918">
        <f>IF(TRIM(Raw_Data!D918)="",30435.80739,Raw_Data!D918)</f>
        <v>33097.769999999997</v>
      </c>
      <c r="E918" t="str">
        <f>TEXT(Raw_Data!E918,"DD-MM-YYYY")</f>
        <v>14-01-2024</v>
      </c>
    </row>
    <row r="919" spans="1:5" x14ac:dyDescent="0.3">
      <c r="A919">
        <v>1917</v>
      </c>
      <c r="B919" t="str">
        <f>IF(TRIM(Raw_Data!B919)="","Unknown",PROPER(TRIM(Raw_Data!B919)))</f>
        <v>Keyboard</v>
      </c>
      <c r="C919" t="str">
        <f>IF(TRIM(Raw_Data!C919)="","South",TRIM(Raw_Data!C919))</f>
        <v>South</v>
      </c>
      <c r="D919">
        <f>IF(TRIM(Raw_Data!D919)="",30435.80739,Raw_Data!D919)</f>
        <v>3942.01</v>
      </c>
      <c r="E919" t="str">
        <f>TEXT(Raw_Data!E919,"DD-MM-YYYY")</f>
        <v>22-07-2024</v>
      </c>
    </row>
    <row r="920" spans="1:5" x14ac:dyDescent="0.3">
      <c r="A920">
        <v>1918</v>
      </c>
      <c r="B920" t="str">
        <f>IF(TRIM(Raw_Data!B920)="","Unknown",PROPER(TRIM(Raw_Data!B920)))</f>
        <v>Monitor</v>
      </c>
      <c r="C920" t="str">
        <f>IF(TRIM(Raw_Data!C920)="","South",TRIM(Raw_Data!C920))</f>
        <v>West</v>
      </c>
      <c r="D920">
        <f>IF(TRIM(Raw_Data!D920)="",30435.80739,Raw_Data!D920)</f>
        <v>21945.9</v>
      </c>
      <c r="E920" t="str">
        <f>TEXT(Raw_Data!E920,"DD-MM-YYYY")</f>
        <v>21-10-2024</v>
      </c>
    </row>
    <row r="921" spans="1:5" x14ac:dyDescent="0.3">
      <c r="A921">
        <v>1919</v>
      </c>
      <c r="B921" t="str">
        <f>IF(TRIM(Raw_Data!B921)="","Unknown",PROPER(TRIM(Raw_Data!B921)))</f>
        <v>Tablet</v>
      </c>
      <c r="C921" t="str">
        <f>IF(TRIM(Raw_Data!C921)="","South",TRIM(Raw_Data!C921))</f>
        <v>South</v>
      </c>
      <c r="D921">
        <f>IF(TRIM(Raw_Data!D921)="",30435.80739,Raw_Data!D921)</f>
        <v>51850.94</v>
      </c>
      <c r="E921" t="str">
        <f>TEXT(Raw_Data!E921,"DD-MM-YYYY")</f>
        <v>02-02-2024</v>
      </c>
    </row>
    <row r="922" spans="1:5" x14ac:dyDescent="0.3">
      <c r="A922">
        <v>1920</v>
      </c>
      <c r="B922" t="str">
        <f>IF(TRIM(Raw_Data!B922)="","Unknown",PROPER(TRIM(Raw_Data!B922)))</f>
        <v>Mouse</v>
      </c>
      <c r="C922" t="str">
        <f>IF(TRIM(Raw_Data!C922)="","South",TRIM(Raw_Data!C922))</f>
        <v>South</v>
      </c>
      <c r="D922">
        <f>IF(TRIM(Raw_Data!D922)="",30435.80739,Raw_Data!D922)</f>
        <v>17849.2</v>
      </c>
      <c r="E922" t="str">
        <f>TEXT(Raw_Data!E922,"DD-MM-YYYY")</f>
        <v>10-08-2024</v>
      </c>
    </row>
    <row r="923" spans="1:5" x14ac:dyDescent="0.3">
      <c r="A923">
        <v>1921</v>
      </c>
      <c r="B923" t="str">
        <f>IF(TRIM(Raw_Data!B923)="","Unknown",PROPER(TRIM(Raw_Data!B923)))</f>
        <v>Tablet</v>
      </c>
      <c r="C923" t="str">
        <f>IF(TRIM(Raw_Data!C923)="","South",TRIM(Raw_Data!C923))</f>
        <v>North</v>
      </c>
      <c r="D923">
        <f>IF(TRIM(Raw_Data!D923)="",30435.80739,Raw_Data!D923)</f>
        <v>22548.45</v>
      </c>
      <c r="E923" t="str">
        <f>TEXT(Raw_Data!E923,"DD-MM-YYYY")</f>
        <v>12-11-2024</v>
      </c>
    </row>
    <row r="924" spans="1:5" x14ac:dyDescent="0.3">
      <c r="A924">
        <v>1922</v>
      </c>
      <c r="B924" t="str">
        <f>IF(TRIM(Raw_Data!B924)="","Unknown",PROPER(TRIM(Raw_Data!B924)))</f>
        <v>Monitor</v>
      </c>
      <c r="C924" t="str">
        <f>IF(TRIM(Raw_Data!C924)="","South",TRIM(Raw_Data!C924))</f>
        <v>East</v>
      </c>
      <c r="D924">
        <f>IF(TRIM(Raw_Data!D924)="",30435.80739,Raw_Data!D924)</f>
        <v>46665.71</v>
      </c>
      <c r="E924" t="str">
        <f>TEXT(Raw_Data!E924,"DD-MM-YYYY")</f>
        <v>30-01-2024</v>
      </c>
    </row>
    <row r="925" spans="1:5" x14ac:dyDescent="0.3">
      <c r="A925">
        <v>1923</v>
      </c>
      <c r="B925" t="str">
        <f>IF(TRIM(Raw_Data!B925)="","Unknown",PROPER(TRIM(Raw_Data!B925)))</f>
        <v>Tablet</v>
      </c>
      <c r="C925" t="str">
        <f>IF(TRIM(Raw_Data!C925)="","South",TRIM(Raw_Data!C925))</f>
        <v>South</v>
      </c>
      <c r="D925">
        <f>IF(TRIM(Raw_Data!D925)="",30435.80739,Raw_Data!D925)</f>
        <v>32592.76</v>
      </c>
      <c r="E925" t="str">
        <f>TEXT(Raw_Data!E925,"DD-MM-YYYY")</f>
        <v>07-10-2024</v>
      </c>
    </row>
    <row r="926" spans="1:5" x14ac:dyDescent="0.3">
      <c r="A926">
        <v>1924</v>
      </c>
      <c r="B926" t="str">
        <f>IF(TRIM(Raw_Data!B926)="","Unknown",PROPER(TRIM(Raw_Data!B926)))</f>
        <v>Monitor</v>
      </c>
      <c r="C926" t="str">
        <f>IF(TRIM(Raw_Data!C926)="","South",TRIM(Raw_Data!C926))</f>
        <v>South</v>
      </c>
      <c r="D926">
        <f>IF(TRIM(Raw_Data!D926)="",30435.80739,Raw_Data!D926)</f>
        <v>14812.06</v>
      </c>
      <c r="E926" t="str">
        <f>TEXT(Raw_Data!E926,"DD-MM-YYYY")</f>
        <v>15-12-2024</v>
      </c>
    </row>
    <row r="927" spans="1:5" x14ac:dyDescent="0.3">
      <c r="A927">
        <v>1925</v>
      </c>
      <c r="B927" t="str">
        <f>IF(TRIM(Raw_Data!B927)="","Unknown",PROPER(TRIM(Raw_Data!B927)))</f>
        <v>Mouse</v>
      </c>
      <c r="C927" t="str">
        <f>IF(TRIM(Raw_Data!C927)="","South",TRIM(Raw_Data!C927))</f>
        <v>South</v>
      </c>
      <c r="D927">
        <f>IF(TRIM(Raw_Data!D927)="",30435.80739,Raw_Data!D927)</f>
        <v>6251.57</v>
      </c>
      <c r="E927" t="str">
        <f>TEXT(Raw_Data!E927,"DD-MM-YYYY")</f>
        <v>22-02-2024</v>
      </c>
    </row>
    <row r="928" spans="1:5" x14ac:dyDescent="0.3">
      <c r="A928">
        <v>1926</v>
      </c>
      <c r="B928" t="str">
        <f>IF(TRIM(Raw_Data!B928)="","Unknown",PROPER(TRIM(Raw_Data!B928)))</f>
        <v>Keyboard</v>
      </c>
      <c r="C928" t="str">
        <f>IF(TRIM(Raw_Data!C928)="","South",TRIM(Raw_Data!C928))</f>
        <v>West</v>
      </c>
      <c r="D928">
        <f>IF(TRIM(Raw_Data!D928)="",30435.80739,Raw_Data!D928)</f>
        <v>18041.53</v>
      </c>
      <c r="E928" t="str">
        <f>TEXT(Raw_Data!E928,"DD-MM-YYYY")</f>
        <v>03-10-2024</v>
      </c>
    </row>
    <row r="929" spans="1:5" x14ac:dyDescent="0.3">
      <c r="A929">
        <v>1927</v>
      </c>
      <c r="B929" t="str">
        <f>IF(TRIM(Raw_Data!B929)="","Unknown",PROPER(TRIM(Raw_Data!B929)))</f>
        <v>Keyboard</v>
      </c>
      <c r="C929" t="str">
        <f>IF(TRIM(Raw_Data!C929)="","South",TRIM(Raw_Data!C929))</f>
        <v>North</v>
      </c>
      <c r="D929">
        <f>IF(TRIM(Raw_Data!D929)="",30435.80739,Raw_Data!D929)</f>
        <v>19282.07</v>
      </c>
      <c r="E929" t="str">
        <f>TEXT(Raw_Data!E929,"DD-MM-YYYY")</f>
        <v>21-11-2024</v>
      </c>
    </row>
    <row r="930" spans="1:5" x14ac:dyDescent="0.3">
      <c r="A930">
        <v>1928</v>
      </c>
      <c r="B930" t="str">
        <f>IF(TRIM(Raw_Data!B930)="","Unknown",PROPER(TRIM(Raw_Data!B930)))</f>
        <v>Keyboard</v>
      </c>
      <c r="C930" t="str">
        <f>IF(TRIM(Raw_Data!C930)="","South",TRIM(Raw_Data!C930))</f>
        <v>West</v>
      </c>
      <c r="D930">
        <f>IF(TRIM(Raw_Data!D930)="",30435.80739,Raw_Data!D930)</f>
        <v>2144.67</v>
      </c>
      <c r="E930" t="str">
        <f>TEXT(Raw_Data!E930,"DD-MM-YYYY")</f>
        <v>14-11-2024</v>
      </c>
    </row>
    <row r="931" spans="1:5" x14ac:dyDescent="0.3">
      <c r="A931">
        <v>1929</v>
      </c>
      <c r="B931" t="str">
        <f>IF(TRIM(Raw_Data!B931)="","Unknown",PROPER(TRIM(Raw_Data!B931)))</f>
        <v>Laptop</v>
      </c>
      <c r="C931" t="str">
        <f>IF(TRIM(Raw_Data!C931)="","South",TRIM(Raw_Data!C931))</f>
        <v>North</v>
      </c>
      <c r="D931">
        <f>IF(TRIM(Raw_Data!D931)="",30435.80739,Raw_Data!D931)</f>
        <v>52496.98</v>
      </c>
      <c r="E931" t="str">
        <f>TEXT(Raw_Data!E931,"DD-MM-YYYY")</f>
        <v>07-06-2024</v>
      </c>
    </row>
    <row r="932" spans="1:5" x14ac:dyDescent="0.3">
      <c r="A932">
        <v>1930</v>
      </c>
      <c r="B932" t="str">
        <f>IF(TRIM(Raw_Data!B932)="","Unknown",PROPER(TRIM(Raw_Data!B932)))</f>
        <v>Laptop</v>
      </c>
      <c r="C932" t="str">
        <f>IF(TRIM(Raw_Data!C932)="","South",TRIM(Raw_Data!C932))</f>
        <v>South</v>
      </c>
      <c r="D932">
        <f>IF(TRIM(Raw_Data!D932)="",30435.80739,Raw_Data!D932)</f>
        <v>35106.25</v>
      </c>
      <c r="E932" t="str">
        <f>TEXT(Raw_Data!E932,"DD-MM-YYYY")</f>
        <v>04-06-2024</v>
      </c>
    </row>
    <row r="933" spans="1:5" x14ac:dyDescent="0.3">
      <c r="A933">
        <v>1931</v>
      </c>
      <c r="B933" t="str">
        <f>IF(TRIM(Raw_Data!B933)="","Unknown",PROPER(TRIM(Raw_Data!B933)))</f>
        <v>Keyboard</v>
      </c>
      <c r="C933" t="str">
        <f>IF(TRIM(Raw_Data!C933)="","South",TRIM(Raw_Data!C933))</f>
        <v>South</v>
      </c>
      <c r="D933">
        <f>IF(TRIM(Raw_Data!D933)="",30435.80739,Raw_Data!D933)</f>
        <v>17809.88</v>
      </c>
      <c r="E933" t="str">
        <f>TEXT(Raw_Data!E933,"DD-MM-YYYY")</f>
        <v>21-04-2024</v>
      </c>
    </row>
    <row r="934" spans="1:5" x14ac:dyDescent="0.3">
      <c r="A934">
        <v>1932</v>
      </c>
      <c r="B934" t="str">
        <f>IF(TRIM(Raw_Data!B934)="","Unknown",PROPER(TRIM(Raw_Data!B934)))</f>
        <v>Tablet</v>
      </c>
      <c r="C934" t="str">
        <f>IF(TRIM(Raw_Data!C934)="","South",TRIM(Raw_Data!C934))</f>
        <v>West</v>
      </c>
      <c r="D934">
        <f>IF(TRIM(Raw_Data!D934)="",30435.80739,Raw_Data!D934)</f>
        <v>13147.35</v>
      </c>
      <c r="E934" t="str">
        <f>TEXT(Raw_Data!E934,"DD-MM-YYYY")</f>
        <v>11-05-2024</v>
      </c>
    </row>
    <row r="935" spans="1:5" x14ac:dyDescent="0.3">
      <c r="A935">
        <v>1933</v>
      </c>
      <c r="B935" t="str">
        <f>IF(TRIM(Raw_Data!B935)="","Unknown",PROPER(TRIM(Raw_Data!B935)))</f>
        <v>Tablet</v>
      </c>
      <c r="C935" t="str">
        <f>IF(TRIM(Raw_Data!C935)="","South",TRIM(Raw_Data!C935))</f>
        <v>South</v>
      </c>
      <c r="D935">
        <f>IF(TRIM(Raw_Data!D935)="",30435.80739,Raw_Data!D935)</f>
        <v>31089.119999999999</v>
      </c>
      <c r="E935" t="str">
        <f>TEXT(Raw_Data!E935,"DD-MM-YYYY")</f>
        <v>09-09-2024</v>
      </c>
    </row>
    <row r="936" spans="1:5" x14ac:dyDescent="0.3">
      <c r="A936">
        <v>1934</v>
      </c>
      <c r="B936" t="str">
        <f>IF(TRIM(Raw_Data!B936)="","Unknown",PROPER(TRIM(Raw_Data!B936)))</f>
        <v>Mouse</v>
      </c>
      <c r="C936" t="str">
        <f>IF(TRIM(Raw_Data!C936)="","South",TRIM(Raw_Data!C936))</f>
        <v>East</v>
      </c>
      <c r="D936">
        <f>IF(TRIM(Raw_Data!D936)="",30435.80739,Raw_Data!D936)</f>
        <v>7808.77</v>
      </c>
      <c r="E936" t="str">
        <f>TEXT(Raw_Data!E936,"DD-MM-YYYY")</f>
        <v>04-07-2024</v>
      </c>
    </row>
    <row r="937" spans="1:5" x14ac:dyDescent="0.3">
      <c r="A937">
        <v>1935</v>
      </c>
      <c r="B937" t="str">
        <f>IF(TRIM(Raw_Data!B937)="","Unknown",PROPER(TRIM(Raw_Data!B937)))</f>
        <v>Laptop</v>
      </c>
      <c r="C937" t="str">
        <f>IF(TRIM(Raw_Data!C937)="","South",TRIM(Raw_Data!C937))</f>
        <v>South</v>
      </c>
      <c r="D937">
        <f>IF(TRIM(Raw_Data!D937)="",30435.80739,Raw_Data!D937)</f>
        <v>16488.11</v>
      </c>
      <c r="E937" t="str">
        <f>TEXT(Raw_Data!E937,"DD-MM-YYYY")</f>
        <v>07-12-2024</v>
      </c>
    </row>
    <row r="938" spans="1:5" x14ac:dyDescent="0.3">
      <c r="A938">
        <v>1936</v>
      </c>
      <c r="B938" t="str">
        <f>IF(TRIM(Raw_Data!B938)="","Unknown",PROPER(TRIM(Raw_Data!B938)))</f>
        <v>Tablet</v>
      </c>
      <c r="C938" t="str">
        <f>IF(TRIM(Raw_Data!C938)="","South",TRIM(Raw_Data!C938))</f>
        <v>North</v>
      </c>
      <c r="D938">
        <f>IF(TRIM(Raw_Data!D938)="",30435.80739,Raw_Data!D938)</f>
        <v>58693.37</v>
      </c>
      <c r="E938" t="str">
        <f>TEXT(Raw_Data!E938,"DD-MM-YYYY")</f>
        <v>18-05-2024</v>
      </c>
    </row>
    <row r="939" spans="1:5" x14ac:dyDescent="0.3">
      <c r="A939">
        <v>1937</v>
      </c>
      <c r="B939" t="str">
        <f>IF(TRIM(Raw_Data!B939)="","Unknown",PROPER(TRIM(Raw_Data!B939)))</f>
        <v>Monitor</v>
      </c>
      <c r="C939" t="str">
        <f>IF(TRIM(Raw_Data!C939)="","South",TRIM(Raw_Data!C939))</f>
        <v>West</v>
      </c>
      <c r="D939">
        <f>IF(TRIM(Raw_Data!D939)="",30435.80739,Raw_Data!D939)</f>
        <v>6833.53</v>
      </c>
      <c r="E939" t="str">
        <f>TEXT(Raw_Data!E939,"DD-MM-YYYY")</f>
        <v>03-04-2024</v>
      </c>
    </row>
    <row r="940" spans="1:5" x14ac:dyDescent="0.3">
      <c r="A940">
        <v>1938</v>
      </c>
      <c r="B940" t="str">
        <f>IF(TRIM(Raw_Data!B940)="","Unknown",PROPER(TRIM(Raw_Data!B940)))</f>
        <v>Mouse</v>
      </c>
      <c r="C940" t="str">
        <f>IF(TRIM(Raw_Data!C940)="","South",TRIM(Raw_Data!C940))</f>
        <v>West</v>
      </c>
      <c r="D940">
        <f>IF(TRIM(Raw_Data!D940)="",30435.80739,Raw_Data!D940)</f>
        <v>30435.807390000002</v>
      </c>
      <c r="E940" t="str">
        <f>TEXT(Raw_Data!E940,"DD-MM-YYYY")</f>
        <v>13-03-2024</v>
      </c>
    </row>
    <row r="941" spans="1:5" x14ac:dyDescent="0.3">
      <c r="A941">
        <v>1939</v>
      </c>
      <c r="B941" t="str">
        <f>IF(TRIM(Raw_Data!B941)="","Unknown",PROPER(TRIM(Raw_Data!B941)))</f>
        <v>Laptop</v>
      </c>
      <c r="C941" t="str">
        <f>IF(TRIM(Raw_Data!C941)="","South",TRIM(Raw_Data!C941))</f>
        <v>East</v>
      </c>
      <c r="D941">
        <f>IF(TRIM(Raw_Data!D941)="",30435.80739,Raw_Data!D941)</f>
        <v>10376.56</v>
      </c>
      <c r="E941" t="str">
        <f>TEXT(Raw_Data!E941,"DD-MM-YYYY")</f>
        <v>28-03-2024</v>
      </c>
    </row>
    <row r="942" spans="1:5" x14ac:dyDescent="0.3">
      <c r="A942">
        <v>1940</v>
      </c>
      <c r="B942" t="str">
        <f>IF(TRIM(Raw_Data!B942)="","Unknown",PROPER(TRIM(Raw_Data!B942)))</f>
        <v>Tablet</v>
      </c>
      <c r="C942" t="str">
        <f>IF(TRIM(Raw_Data!C942)="","South",TRIM(Raw_Data!C942))</f>
        <v>North</v>
      </c>
      <c r="D942">
        <f>IF(TRIM(Raw_Data!D942)="",30435.80739,Raw_Data!D942)</f>
        <v>48906.1</v>
      </c>
      <c r="E942" t="str">
        <f>TEXT(Raw_Data!E942,"DD-MM-YYYY")</f>
        <v>12-08-2024</v>
      </c>
    </row>
    <row r="943" spans="1:5" x14ac:dyDescent="0.3">
      <c r="A943">
        <v>1941</v>
      </c>
      <c r="B943" t="str">
        <f>IF(TRIM(Raw_Data!B943)="","Unknown",PROPER(TRIM(Raw_Data!B943)))</f>
        <v>Mouse</v>
      </c>
      <c r="C943" t="str">
        <f>IF(TRIM(Raw_Data!C943)="","South",TRIM(Raw_Data!C943))</f>
        <v>East</v>
      </c>
      <c r="D943">
        <f>IF(TRIM(Raw_Data!D943)="",30435.80739,Raw_Data!D943)</f>
        <v>42942.77</v>
      </c>
      <c r="E943" t="str">
        <f>TEXT(Raw_Data!E943,"DD-MM-YYYY")</f>
        <v>29-10-2024</v>
      </c>
    </row>
    <row r="944" spans="1:5" x14ac:dyDescent="0.3">
      <c r="A944">
        <v>1942</v>
      </c>
      <c r="B944" t="str">
        <f>IF(TRIM(Raw_Data!B944)="","Unknown",PROPER(TRIM(Raw_Data!B944)))</f>
        <v>Laptop</v>
      </c>
      <c r="C944" t="str">
        <f>IF(TRIM(Raw_Data!C944)="","South",TRIM(Raw_Data!C944))</f>
        <v>South</v>
      </c>
      <c r="D944">
        <f>IF(TRIM(Raw_Data!D944)="",30435.80739,Raw_Data!D944)</f>
        <v>30435.807390000002</v>
      </c>
      <c r="E944" t="str">
        <f>TEXT(Raw_Data!E944,"DD-MM-YYYY")</f>
        <v>24-09-2024</v>
      </c>
    </row>
    <row r="945" spans="1:5" x14ac:dyDescent="0.3">
      <c r="A945">
        <v>1943</v>
      </c>
      <c r="B945" t="str">
        <f>IF(TRIM(Raw_Data!B945)="","Unknown",PROPER(TRIM(Raw_Data!B945)))</f>
        <v>Tablet</v>
      </c>
      <c r="C945" t="str">
        <f>IF(TRIM(Raw_Data!C945)="","South",TRIM(Raw_Data!C945))</f>
        <v>South</v>
      </c>
      <c r="D945">
        <f>IF(TRIM(Raw_Data!D945)="",30435.80739,Raw_Data!D945)</f>
        <v>19823.59</v>
      </c>
      <c r="E945" t="str">
        <f>TEXT(Raw_Data!E945,"DD-MM-YYYY")</f>
        <v>12-10-2024</v>
      </c>
    </row>
    <row r="946" spans="1:5" x14ac:dyDescent="0.3">
      <c r="A946">
        <v>1944</v>
      </c>
      <c r="B946" t="str">
        <f>IF(TRIM(Raw_Data!B946)="","Unknown",PROPER(TRIM(Raw_Data!B946)))</f>
        <v>Keyboard</v>
      </c>
      <c r="C946" t="str">
        <f>IF(TRIM(Raw_Data!C946)="","South",TRIM(Raw_Data!C946))</f>
        <v>South</v>
      </c>
      <c r="D946">
        <f>IF(TRIM(Raw_Data!D946)="",30435.80739,Raw_Data!D946)</f>
        <v>39967.71</v>
      </c>
      <c r="E946" t="str">
        <f>TEXT(Raw_Data!E946,"DD-MM-YYYY")</f>
        <v>17-07-2024</v>
      </c>
    </row>
    <row r="947" spans="1:5" x14ac:dyDescent="0.3">
      <c r="A947">
        <v>1945</v>
      </c>
      <c r="B947" t="str">
        <f>IF(TRIM(Raw_Data!B947)="","Unknown",PROPER(TRIM(Raw_Data!B947)))</f>
        <v>Mouse</v>
      </c>
      <c r="C947" t="str">
        <f>IF(TRIM(Raw_Data!C947)="","South",TRIM(Raw_Data!C947))</f>
        <v>West</v>
      </c>
      <c r="D947">
        <f>IF(TRIM(Raw_Data!D947)="",30435.80739,Raw_Data!D947)</f>
        <v>18258.39</v>
      </c>
      <c r="E947" t="str">
        <f>TEXT(Raw_Data!E947,"DD-MM-YYYY")</f>
        <v>05-06-2024</v>
      </c>
    </row>
    <row r="948" spans="1:5" x14ac:dyDescent="0.3">
      <c r="A948">
        <v>1946</v>
      </c>
      <c r="B948" t="str">
        <f>IF(TRIM(Raw_Data!B948)="","Unknown",PROPER(TRIM(Raw_Data!B948)))</f>
        <v>Unknown</v>
      </c>
      <c r="C948" t="str">
        <f>IF(TRIM(Raw_Data!C948)="","South",TRIM(Raw_Data!C948))</f>
        <v>South</v>
      </c>
      <c r="D948">
        <f>IF(TRIM(Raw_Data!D948)="",30435.80739,Raw_Data!D948)</f>
        <v>56154.5</v>
      </c>
      <c r="E948" t="str">
        <f>TEXT(Raw_Data!E948,"DD-MM-YYYY")</f>
        <v>15-02-2024</v>
      </c>
    </row>
    <row r="949" spans="1:5" x14ac:dyDescent="0.3">
      <c r="A949">
        <v>1947</v>
      </c>
      <c r="B949" t="str">
        <f>IF(TRIM(Raw_Data!B949)="","Unknown",PROPER(TRIM(Raw_Data!B949)))</f>
        <v>Unknown</v>
      </c>
      <c r="C949" t="str">
        <f>IF(TRIM(Raw_Data!C949)="","South",TRIM(Raw_Data!C949))</f>
        <v>South</v>
      </c>
      <c r="D949">
        <f>IF(TRIM(Raw_Data!D949)="",30435.80739,Raw_Data!D949)</f>
        <v>51422.52</v>
      </c>
      <c r="E949" t="str">
        <f>TEXT(Raw_Data!E949,"DD-MM-YYYY")</f>
        <v>12-11-2024</v>
      </c>
    </row>
    <row r="950" spans="1:5" x14ac:dyDescent="0.3">
      <c r="A950">
        <v>1948</v>
      </c>
      <c r="B950" t="str">
        <f>IF(TRIM(Raw_Data!B950)="","Unknown",PROPER(TRIM(Raw_Data!B950)))</f>
        <v>Laptop</v>
      </c>
      <c r="C950" t="str">
        <f>IF(TRIM(Raw_Data!C950)="","South",TRIM(Raw_Data!C950))</f>
        <v>South</v>
      </c>
      <c r="D950">
        <f>IF(TRIM(Raw_Data!D950)="",30435.80739,Raw_Data!D950)</f>
        <v>40355.17</v>
      </c>
      <c r="E950" t="str">
        <f>TEXT(Raw_Data!E950,"DD-MM-YYYY")</f>
        <v>07-03-2024</v>
      </c>
    </row>
    <row r="951" spans="1:5" x14ac:dyDescent="0.3">
      <c r="A951">
        <v>1949</v>
      </c>
      <c r="B951" t="str">
        <f>IF(TRIM(Raw_Data!B951)="","Unknown",PROPER(TRIM(Raw_Data!B951)))</f>
        <v>Monitor</v>
      </c>
      <c r="C951" t="str">
        <f>IF(TRIM(Raw_Data!C951)="","South",TRIM(Raw_Data!C951))</f>
        <v>South</v>
      </c>
      <c r="D951">
        <f>IF(TRIM(Raw_Data!D951)="",30435.80739,Raw_Data!D951)</f>
        <v>41711.519999999997</v>
      </c>
      <c r="E951" t="str">
        <f>TEXT(Raw_Data!E951,"DD-MM-YYYY")</f>
        <v>14-12-2024</v>
      </c>
    </row>
    <row r="952" spans="1:5" x14ac:dyDescent="0.3">
      <c r="A952">
        <v>1950</v>
      </c>
      <c r="B952" t="str">
        <f>IF(TRIM(Raw_Data!B952)="","Unknown",PROPER(TRIM(Raw_Data!B952)))</f>
        <v>Monitor</v>
      </c>
      <c r="C952" t="str">
        <f>IF(TRIM(Raw_Data!C952)="","South",TRIM(Raw_Data!C952))</f>
        <v>East</v>
      </c>
      <c r="D952">
        <f>IF(TRIM(Raw_Data!D952)="",30435.80739,Raw_Data!D952)</f>
        <v>30435.807390000002</v>
      </c>
      <c r="E952" t="str">
        <f>TEXT(Raw_Data!E952,"DD-MM-YYYY")</f>
        <v>10-02-2024</v>
      </c>
    </row>
    <row r="953" spans="1:5" x14ac:dyDescent="0.3">
      <c r="A953">
        <v>1951</v>
      </c>
      <c r="B953" t="str">
        <f>IF(TRIM(Raw_Data!B953)="","Unknown",PROPER(TRIM(Raw_Data!B953)))</f>
        <v>Monitor</v>
      </c>
      <c r="C953" t="str">
        <f>IF(TRIM(Raw_Data!C953)="","South",TRIM(Raw_Data!C953))</f>
        <v>North</v>
      </c>
      <c r="D953">
        <f>IF(TRIM(Raw_Data!D953)="",30435.80739,Raw_Data!D953)</f>
        <v>5633.64</v>
      </c>
      <c r="E953" t="str">
        <f>TEXT(Raw_Data!E953,"DD-MM-YYYY")</f>
        <v>02-11-2024</v>
      </c>
    </row>
    <row r="954" spans="1:5" x14ac:dyDescent="0.3">
      <c r="A954">
        <v>1952</v>
      </c>
      <c r="B954" t="str">
        <f>IF(TRIM(Raw_Data!B954)="","Unknown",PROPER(TRIM(Raw_Data!B954)))</f>
        <v>Tablet</v>
      </c>
      <c r="C954" t="str">
        <f>IF(TRIM(Raw_Data!C954)="","South",TRIM(Raw_Data!C954))</f>
        <v>West</v>
      </c>
      <c r="D954">
        <f>IF(TRIM(Raw_Data!D954)="",30435.80739,Raw_Data!D954)</f>
        <v>24706.99</v>
      </c>
      <c r="E954" t="str">
        <f>TEXT(Raw_Data!E954,"DD-MM-YYYY")</f>
        <v>25-07-2024</v>
      </c>
    </row>
    <row r="955" spans="1:5" x14ac:dyDescent="0.3">
      <c r="A955">
        <v>1953</v>
      </c>
      <c r="B955" t="str">
        <f>IF(TRIM(Raw_Data!B955)="","Unknown",PROPER(TRIM(Raw_Data!B955)))</f>
        <v>Mouse</v>
      </c>
      <c r="C955" t="str">
        <f>IF(TRIM(Raw_Data!C955)="","South",TRIM(Raw_Data!C955))</f>
        <v>South</v>
      </c>
      <c r="D955">
        <f>IF(TRIM(Raw_Data!D955)="",30435.80739,Raw_Data!D955)</f>
        <v>17773.009999999998</v>
      </c>
      <c r="E955" t="str">
        <f>TEXT(Raw_Data!E955,"DD-MM-YYYY")</f>
        <v>27-05-2024</v>
      </c>
    </row>
    <row r="956" spans="1:5" x14ac:dyDescent="0.3">
      <c r="A956">
        <v>1954</v>
      </c>
      <c r="B956" t="str">
        <f>IF(TRIM(Raw_Data!B956)="","Unknown",PROPER(TRIM(Raw_Data!B956)))</f>
        <v>Laptop</v>
      </c>
      <c r="C956" t="str">
        <f>IF(TRIM(Raw_Data!C956)="","South",TRIM(Raw_Data!C956))</f>
        <v>North</v>
      </c>
      <c r="D956">
        <f>IF(TRIM(Raw_Data!D956)="",30435.80739,Raw_Data!D956)</f>
        <v>51914.879999999997</v>
      </c>
      <c r="E956" t="str">
        <f>TEXT(Raw_Data!E956,"DD-MM-YYYY")</f>
        <v>25-01-2024</v>
      </c>
    </row>
    <row r="957" spans="1:5" x14ac:dyDescent="0.3">
      <c r="A957">
        <v>1955</v>
      </c>
      <c r="B957" t="str">
        <f>IF(TRIM(Raw_Data!B957)="","Unknown",PROPER(TRIM(Raw_Data!B957)))</f>
        <v>Mouse</v>
      </c>
      <c r="C957" t="str">
        <f>IF(TRIM(Raw_Data!C957)="","South",TRIM(Raw_Data!C957))</f>
        <v>East</v>
      </c>
      <c r="D957">
        <f>IF(TRIM(Raw_Data!D957)="",30435.80739,Raw_Data!D957)</f>
        <v>44041.760000000002</v>
      </c>
      <c r="E957" t="str">
        <f>TEXT(Raw_Data!E957,"DD-MM-YYYY")</f>
        <v>25-06-2024</v>
      </c>
    </row>
    <row r="958" spans="1:5" x14ac:dyDescent="0.3">
      <c r="A958">
        <v>1956</v>
      </c>
      <c r="B958" t="str">
        <f>IF(TRIM(Raw_Data!B958)="","Unknown",PROPER(TRIM(Raw_Data!B958)))</f>
        <v>Laptop</v>
      </c>
      <c r="C958" t="str">
        <f>IF(TRIM(Raw_Data!C958)="","South",TRIM(Raw_Data!C958))</f>
        <v>South</v>
      </c>
      <c r="D958">
        <f>IF(TRIM(Raw_Data!D958)="",30435.80739,Raw_Data!D958)</f>
        <v>17094.84</v>
      </c>
      <c r="E958" t="str">
        <f>TEXT(Raw_Data!E958,"DD-MM-YYYY")</f>
        <v>03-04-2024</v>
      </c>
    </row>
    <row r="959" spans="1:5" x14ac:dyDescent="0.3">
      <c r="A959">
        <v>1957</v>
      </c>
      <c r="B959" t="str">
        <f>IF(TRIM(Raw_Data!B959)="","Unknown",PROPER(TRIM(Raw_Data!B959)))</f>
        <v>Laptop</v>
      </c>
      <c r="C959" t="str">
        <f>IF(TRIM(Raw_Data!C959)="","South",TRIM(Raw_Data!C959))</f>
        <v>North</v>
      </c>
      <c r="D959">
        <f>IF(TRIM(Raw_Data!D959)="",30435.80739,Raw_Data!D959)</f>
        <v>56655.3</v>
      </c>
      <c r="E959" t="str">
        <f>TEXT(Raw_Data!E959,"DD-MM-YYYY")</f>
        <v>11-12-2024</v>
      </c>
    </row>
    <row r="960" spans="1:5" x14ac:dyDescent="0.3">
      <c r="A960">
        <v>1958</v>
      </c>
      <c r="B960" t="str">
        <f>IF(TRIM(Raw_Data!B960)="","Unknown",PROPER(TRIM(Raw_Data!B960)))</f>
        <v>Laptop</v>
      </c>
      <c r="C960" t="str">
        <f>IF(TRIM(Raw_Data!C960)="","South",TRIM(Raw_Data!C960))</f>
        <v>South</v>
      </c>
      <c r="D960">
        <f>IF(TRIM(Raw_Data!D960)="",30435.80739,Raw_Data!D960)</f>
        <v>23897.83</v>
      </c>
      <c r="E960" t="str">
        <f>TEXT(Raw_Data!E960,"DD-MM-YYYY")</f>
        <v>09-10-2024</v>
      </c>
    </row>
    <row r="961" spans="1:5" x14ac:dyDescent="0.3">
      <c r="A961">
        <v>1087</v>
      </c>
      <c r="B961" t="str">
        <f>IF(TRIM(Raw_Data!B961)="","Unknown",PROPER(TRIM(Raw_Data!B961)))</f>
        <v>Unknown</v>
      </c>
      <c r="C961" t="str">
        <f>IF(TRIM(Raw_Data!C961)="","South",TRIM(Raw_Data!C961))</f>
        <v>North</v>
      </c>
      <c r="D961">
        <f>IF(TRIM(Raw_Data!D961)="",30435.80739,Raw_Data!D961)</f>
        <v>48530.89</v>
      </c>
      <c r="E961" t="str">
        <f>TEXT(Raw_Data!E961,"DD-MM-YYYY")</f>
        <v>19-11-2024</v>
      </c>
    </row>
    <row r="962" spans="1:5" x14ac:dyDescent="0.3">
      <c r="A962">
        <v>1960</v>
      </c>
      <c r="B962" t="str">
        <f>IF(TRIM(Raw_Data!B962)="","Unknown",PROPER(TRIM(Raw_Data!B962)))</f>
        <v>Laptop</v>
      </c>
      <c r="C962" t="str">
        <f>IF(TRIM(Raw_Data!C962)="","South",TRIM(Raw_Data!C962))</f>
        <v>North</v>
      </c>
      <c r="D962">
        <f>IF(TRIM(Raw_Data!D962)="",30435.80739,Raw_Data!D962)</f>
        <v>26533.26</v>
      </c>
      <c r="E962" t="str">
        <f>TEXT(Raw_Data!E962,"DD-MM-YYYY")</f>
        <v>12-07-2024</v>
      </c>
    </row>
    <row r="963" spans="1:5" x14ac:dyDescent="0.3">
      <c r="A963">
        <v>1961</v>
      </c>
      <c r="B963" t="str">
        <f>IF(TRIM(Raw_Data!B963)="","Unknown",PROPER(TRIM(Raw_Data!B963)))</f>
        <v>Monitor</v>
      </c>
      <c r="C963" t="str">
        <f>IF(TRIM(Raw_Data!C963)="","South",TRIM(Raw_Data!C963))</f>
        <v>West</v>
      </c>
      <c r="D963">
        <f>IF(TRIM(Raw_Data!D963)="",30435.80739,Raw_Data!D963)</f>
        <v>6365.19</v>
      </c>
      <c r="E963" t="str">
        <f>TEXT(Raw_Data!E963,"DD-MM-YYYY")</f>
        <v>21-02-2024</v>
      </c>
    </row>
    <row r="964" spans="1:5" x14ac:dyDescent="0.3">
      <c r="A964">
        <v>1962</v>
      </c>
      <c r="B964" t="str">
        <f>IF(TRIM(Raw_Data!B964)="","Unknown",PROPER(TRIM(Raw_Data!B964)))</f>
        <v>Laptop</v>
      </c>
      <c r="C964" t="str">
        <f>IF(TRIM(Raw_Data!C964)="","South",TRIM(Raw_Data!C964))</f>
        <v>North</v>
      </c>
      <c r="D964">
        <f>IF(TRIM(Raw_Data!D964)="",30435.80739,Raw_Data!D964)</f>
        <v>39599.57</v>
      </c>
      <c r="E964" t="str">
        <f>TEXT(Raw_Data!E964,"DD-MM-YYYY")</f>
        <v>18-08-2024</v>
      </c>
    </row>
    <row r="965" spans="1:5" x14ac:dyDescent="0.3">
      <c r="A965">
        <v>1963</v>
      </c>
      <c r="B965" t="str">
        <f>IF(TRIM(Raw_Data!B965)="","Unknown",PROPER(TRIM(Raw_Data!B965)))</f>
        <v>Keyboard</v>
      </c>
      <c r="C965" t="str">
        <f>IF(TRIM(Raw_Data!C965)="","South",TRIM(Raw_Data!C965))</f>
        <v>West</v>
      </c>
      <c r="D965">
        <f>IF(TRIM(Raw_Data!D965)="",30435.80739,Raw_Data!D965)</f>
        <v>4952.47</v>
      </c>
      <c r="E965" t="str">
        <f>TEXT(Raw_Data!E965,"DD-MM-YYYY")</f>
        <v>27-02-2024</v>
      </c>
    </row>
    <row r="966" spans="1:5" x14ac:dyDescent="0.3">
      <c r="A966">
        <v>1964</v>
      </c>
      <c r="B966" t="str">
        <f>IF(TRIM(Raw_Data!B966)="","Unknown",PROPER(TRIM(Raw_Data!B966)))</f>
        <v>Tablet</v>
      </c>
      <c r="C966" t="str">
        <f>IF(TRIM(Raw_Data!C966)="","South",TRIM(Raw_Data!C966))</f>
        <v>West</v>
      </c>
      <c r="D966">
        <f>IF(TRIM(Raw_Data!D966)="",30435.80739,Raw_Data!D966)</f>
        <v>41615.68</v>
      </c>
      <c r="E966" t="str">
        <f>TEXT(Raw_Data!E966,"DD-MM-YYYY")</f>
        <v>31-07-2024</v>
      </c>
    </row>
    <row r="967" spans="1:5" x14ac:dyDescent="0.3">
      <c r="A967">
        <v>1965</v>
      </c>
      <c r="B967" t="str">
        <f>IF(TRIM(Raw_Data!B967)="","Unknown",PROPER(TRIM(Raw_Data!B967)))</f>
        <v>Keyboard</v>
      </c>
      <c r="C967" t="str">
        <f>IF(TRIM(Raw_Data!C967)="","South",TRIM(Raw_Data!C967))</f>
        <v>East</v>
      </c>
      <c r="D967">
        <f>IF(TRIM(Raw_Data!D967)="",30435.80739,Raw_Data!D967)</f>
        <v>54540.33</v>
      </c>
      <c r="E967" t="str">
        <f>TEXT(Raw_Data!E967,"DD-MM-YYYY")</f>
        <v>12-11-2024</v>
      </c>
    </row>
    <row r="968" spans="1:5" x14ac:dyDescent="0.3">
      <c r="A968">
        <v>1966</v>
      </c>
      <c r="B968" t="str">
        <f>IF(TRIM(Raw_Data!B968)="","Unknown",PROPER(TRIM(Raw_Data!B968)))</f>
        <v>Tablet</v>
      </c>
      <c r="C968" t="str">
        <f>IF(TRIM(Raw_Data!C968)="","South",TRIM(Raw_Data!C968))</f>
        <v>East</v>
      </c>
      <c r="D968">
        <f>IF(TRIM(Raw_Data!D968)="",30435.80739,Raw_Data!D968)</f>
        <v>29243.4</v>
      </c>
      <c r="E968" t="str">
        <f>TEXT(Raw_Data!E968,"DD-MM-YYYY")</f>
        <v>28-12-2024</v>
      </c>
    </row>
    <row r="969" spans="1:5" x14ac:dyDescent="0.3">
      <c r="A969">
        <v>1967</v>
      </c>
      <c r="B969" t="str">
        <f>IF(TRIM(Raw_Data!B969)="","Unknown",PROPER(TRIM(Raw_Data!B969)))</f>
        <v>Tablet</v>
      </c>
      <c r="C969" t="str">
        <f>IF(TRIM(Raw_Data!C969)="","South",TRIM(Raw_Data!C969))</f>
        <v>South</v>
      </c>
      <c r="D969">
        <f>IF(TRIM(Raw_Data!D969)="",30435.80739,Raw_Data!D969)</f>
        <v>30435.807390000002</v>
      </c>
      <c r="E969" t="str">
        <f>TEXT(Raw_Data!E969,"DD-MM-YYYY")</f>
        <v>22-08-2024</v>
      </c>
    </row>
    <row r="970" spans="1:5" x14ac:dyDescent="0.3">
      <c r="A970">
        <v>1968</v>
      </c>
      <c r="B970" t="str">
        <f>IF(TRIM(Raw_Data!B970)="","Unknown",PROPER(TRIM(Raw_Data!B970)))</f>
        <v>Laptop</v>
      </c>
      <c r="C970" t="str">
        <f>IF(TRIM(Raw_Data!C970)="","South",TRIM(Raw_Data!C970))</f>
        <v>North</v>
      </c>
      <c r="D970">
        <f>IF(TRIM(Raw_Data!D970)="",30435.80739,Raw_Data!D970)</f>
        <v>46705.7</v>
      </c>
      <c r="E970" t="str">
        <f>TEXT(Raw_Data!E970,"DD-MM-YYYY")</f>
        <v>28-06-2024</v>
      </c>
    </row>
    <row r="971" spans="1:5" x14ac:dyDescent="0.3">
      <c r="A971">
        <v>1969</v>
      </c>
      <c r="B971" t="str">
        <f>IF(TRIM(Raw_Data!B971)="","Unknown",PROPER(TRIM(Raw_Data!B971)))</f>
        <v>Keyboard</v>
      </c>
      <c r="C971" t="str">
        <f>IF(TRIM(Raw_Data!C971)="","South",TRIM(Raw_Data!C971))</f>
        <v>North</v>
      </c>
      <c r="D971">
        <f>IF(TRIM(Raw_Data!D971)="",30435.80739,Raw_Data!D971)</f>
        <v>5551.52</v>
      </c>
      <c r="E971" t="str">
        <f>TEXT(Raw_Data!E971,"DD-MM-YYYY")</f>
        <v>14-10-2024</v>
      </c>
    </row>
    <row r="972" spans="1:5" x14ac:dyDescent="0.3">
      <c r="A972">
        <v>1970</v>
      </c>
      <c r="B972" t="str">
        <f>IF(TRIM(Raw_Data!B972)="","Unknown",PROPER(TRIM(Raw_Data!B972)))</f>
        <v>Mouse</v>
      </c>
      <c r="C972" t="str">
        <f>IF(TRIM(Raw_Data!C972)="","South",TRIM(Raw_Data!C972))</f>
        <v>South</v>
      </c>
      <c r="D972">
        <f>IF(TRIM(Raw_Data!D972)="",30435.80739,Raw_Data!D972)</f>
        <v>31581.11</v>
      </c>
      <c r="E972" t="str">
        <f>TEXT(Raw_Data!E972,"DD-MM-YYYY")</f>
        <v>27-09-2024</v>
      </c>
    </row>
    <row r="973" spans="1:5" x14ac:dyDescent="0.3">
      <c r="A973">
        <v>1971</v>
      </c>
      <c r="B973" t="str">
        <f>IF(TRIM(Raw_Data!B973)="","Unknown",PROPER(TRIM(Raw_Data!B973)))</f>
        <v>Monitor</v>
      </c>
      <c r="C973" t="str">
        <f>IF(TRIM(Raw_Data!C973)="","South",TRIM(Raw_Data!C973))</f>
        <v>East</v>
      </c>
      <c r="D973">
        <f>IF(TRIM(Raw_Data!D973)="",30435.80739,Raw_Data!D973)</f>
        <v>26871.97</v>
      </c>
      <c r="E973" t="str">
        <f>TEXT(Raw_Data!E973,"DD-MM-YYYY")</f>
        <v>02-05-2024</v>
      </c>
    </row>
    <row r="974" spans="1:5" x14ac:dyDescent="0.3">
      <c r="A974">
        <v>1972</v>
      </c>
      <c r="B974" t="str">
        <f>IF(TRIM(Raw_Data!B974)="","Unknown",PROPER(TRIM(Raw_Data!B974)))</f>
        <v>Monitor</v>
      </c>
      <c r="C974" t="str">
        <f>IF(TRIM(Raw_Data!C974)="","South",TRIM(Raw_Data!C974))</f>
        <v>North</v>
      </c>
      <c r="D974">
        <f>IF(TRIM(Raw_Data!D974)="",30435.80739,Raw_Data!D974)</f>
        <v>21429.7</v>
      </c>
      <c r="E974" t="str">
        <f>TEXT(Raw_Data!E974,"DD-MM-YYYY")</f>
        <v>28-05-2024</v>
      </c>
    </row>
    <row r="975" spans="1:5" x14ac:dyDescent="0.3">
      <c r="A975">
        <v>1973</v>
      </c>
      <c r="B975" t="str">
        <f>IF(TRIM(Raw_Data!B975)="","Unknown",PROPER(TRIM(Raw_Data!B975)))</f>
        <v>Mouse</v>
      </c>
      <c r="C975" t="str">
        <f>IF(TRIM(Raw_Data!C975)="","South",TRIM(Raw_Data!C975))</f>
        <v>North</v>
      </c>
      <c r="D975">
        <f>IF(TRIM(Raw_Data!D975)="",30435.80739,Raw_Data!D975)</f>
        <v>30585.05</v>
      </c>
      <c r="E975" t="str">
        <f>TEXT(Raw_Data!E975,"DD-MM-YYYY")</f>
        <v>29-09-2024</v>
      </c>
    </row>
    <row r="976" spans="1:5" x14ac:dyDescent="0.3">
      <c r="A976">
        <v>1974</v>
      </c>
      <c r="B976" t="str">
        <f>IF(TRIM(Raw_Data!B976)="","Unknown",PROPER(TRIM(Raw_Data!B976)))</f>
        <v>Laptop</v>
      </c>
      <c r="C976" t="str">
        <f>IF(TRIM(Raw_Data!C976)="","South",TRIM(Raw_Data!C976))</f>
        <v>South</v>
      </c>
      <c r="D976">
        <f>IF(TRIM(Raw_Data!D976)="",30435.80739,Raw_Data!D976)</f>
        <v>11371.25</v>
      </c>
      <c r="E976" t="str">
        <f>TEXT(Raw_Data!E976,"DD-MM-YYYY")</f>
        <v>29-03-2024</v>
      </c>
    </row>
    <row r="977" spans="1:5" x14ac:dyDescent="0.3">
      <c r="A977">
        <v>1975</v>
      </c>
      <c r="B977" t="str">
        <f>IF(TRIM(Raw_Data!B977)="","Unknown",PROPER(TRIM(Raw_Data!B977)))</f>
        <v>Keyboard</v>
      </c>
      <c r="C977" t="str">
        <f>IF(TRIM(Raw_Data!C977)="","South",TRIM(Raw_Data!C977))</f>
        <v>North</v>
      </c>
      <c r="D977">
        <f>IF(TRIM(Raw_Data!D977)="",30435.80739,Raw_Data!D977)</f>
        <v>48951.24</v>
      </c>
      <c r="E977" t="str">
        <f>TEXT(Raw_Data!E977,"DD-MM-YYYY")</f>
        <v>14-07-2024</v>
      </c>
    </row>
    <row r="978" spans="1:5" x14ac:dyDescent="0.3">
      <c r="A978">
        <v>1976</v>
      </c>
      <c r="B978" t="str">
        <f>IF(TRIM(Raw_Data!B978)="","Unknown",PROPER(TRIM(Raw_Data!B978)))</f>
        <v>Monitor</v>
      </c>
      <c r="C978" t="str">
        <f>IF(TRIM(Raw_Data!C978)="","South",TRIM(Raw_Data!C978))</f>
        <v>North</v>
      </c>
      <c r="D978">
        <f>IF(TRIM(Raw_Data!D978)="",30435.80739,Raw_Data!D978)</f>
        <v>8995.5</v>
      </c>
      <c r="E978" t="str">
        <f>TEXT(Raw_Data!E978,"DD-MM-YYYY")</f>
        <v>17-05-2024</v>
      </c>
    </row>
    <row r="979" spans="1:5" x14ac:dyDescent="0.3">
      <c r="A979">
        <v>1977</v>
      </c>
      <c r="B979" t="str">
        <f>IF(TRIM(Raw_Data!B979)="","Unknown",PROPER(TRIM(Raw_Data!B979)))</f>
        <v>Monitor</v>
      </c>
      <c r="C979" t="str">
        <f>IF(TRIM(Raw_Data!C979)="","South",TRIM(Raw_Data!C979))</f>
        <v>North</v>
      </c>
      <c r="D979">
        <f>IF(TRIM(Raw_Data!D979)="",30435.80739,Raw_Data!D979)</f>
        <v>45858.39</v>
      </c>
      <c r="E979" t="str">
        <f>TEXT(Raw_Data!E979,"DD-MM-YYYY")</f>
        <v>28-06-2024</v>
      </c>
    </row>
    <row r="980" spans="1:5" x14ac:dyDescent="0.3">
      <c r="A980">
        <v>1978</v>
      </c>
      <c r="B980" t="str">
        <f>IF(TRIM(Raw_Data!B980)="","Unknown",PROPER(TRIM(Raw_Data!B980)))</f>
        <v>Tablet</v>
      </c>
      <c r="C980" t="str">
        <f>IF(TRIM(Raw_Data!C980)="","South",TRIM(Raw_Data!C980))</f>
        <v>East</v>
      </c>
      <c r="D980">
        <f>IF(TRIM(Raw_Data!D980)="",30435.80739,Raw_Data!D980)</f>
        <v>37087.68</v>
      </c>
      <c r="E980" t="str">
        <f>TEXT(Raw_Data!E980,"DD-MM-YYYY")</f>
        <v>21-07-2024</v>
      </c>
    </row>
    <row r="981" spans="1:5" x14ac:dyDescent="0.3">
      <c r="A981">
        <v>1979</v>
      </c>
      <c r="B981" t="str">
        <f>IF(TRIM(Raw_Data!B981)="","Unknown",PROPER(TRIM(Raw_Data!B981)))</f>
        <v>Unknown</v>
      </c>
      <c r="C981" t="str">
        <f>IF(TRIM(Raw_Data!C981)="","South",TRIM(Raw_Data!C981))</f>
        <v>East</v>
      </c>
      <c r="D981">
        <f>IF(TRIM(Raw_Data!D981)="",30435.80739,Raw_Data!D981)</f>
        <v>26882.400000000001</v>
      </c>
      <c r="E981" t="str">
        <f>TEXT(Raw_Data!E981,"DD-MM-YYYY")</f>
        <v>30-12-2024</v>
      </c>
    </row>
    <row r="982" spans="1:5" x14ac:dyDescent="0.3">
      <c r="A982">
        <v>1980</v>
      </c>
      <c r="B982" t="str">
        <f>IF(TRIM(Raw_Data!B982)="","Unknown",PROPER(TRIM(Raw_Data!B982)))</f>
        <v>Keyboard</v>
      </c>
      <c r="C982" t="str">
        <f>IF(TRIM(Raw_Data!C982)="","South",TRIM(Raw_Data!C982))</f>
        <v>West</v>
      </c>
      <c r="D982">
        <f>IF(TRIM(Raw_Data!D982)="",30435.80739,Raw_Data!D982)</f>
        <v>34133.480000000003</v>
      </c>
      <c r="E982" t="str">
        <f>TEXT(Raw_Data!E982,"DD-MM-YYYY")</f>
        <v>14-12-2024</v>
      </c>
    </row>
    <row r="983" spans="1:5" x14ac:dyDescent="0.3">
      <c r="A983">
        <v>1981</v>
      </c>
      <c r="B983" t="str">
        <f>IF(TRIM(Raw_Data!B983)="","Unknown",PROPER(TRIM(Raw_Data!B983)))</f>
        <v>Monitor</v>
      </c>
      <c r="C983" t="str">
        <f>IF(TRIM(Raw_Data!C983)="","South",TRIM(Raw_Data!C983))</f>
        <v>East</v>
      </c>
      <c r="D983">
        <f>IF(TRIM(Raw_Data!D983)="",30435.80739,Raw_Data!D983)</f>
        <v>10710.11</v>
      </c>
      <c r="E983" t="str">
        <f>TEXT(Raw_Data!E983,"DD-MM-YYYY")</f>
        <v>04-08-2024</v>
      </c>
    </row>
    <row r="984" spans="1:5" x14ac:dyDescent="0.3">
      <c r="A984">
        <v>1982</v>
      </c>
      <c r="B984" t="str">
        <f>IF(TRIM(Raw_Data!B984)="","Unknown",PROPER(TRIM(Raw_Data!B984)))</f>
        <v>Laptop</v>
      </c>
      <c r="C984" t="str">
        <f>IF(TRIM(Raw_Data!C984)="","South",TRIM(Raw_Data!C984))</f>
        <v>South</v>
      </c>
      <c r="D984">
        <f>IF(TRIM(Raw_Data!D984)="",30435.80739,Raw_Data!D984)</f>
        <v>3776.61</v>
      </c>
      <c r="E984" t="str">
        <f>TEXT(Raw_Data!E984,"DD-MM-YYYY")</f>
        <v>31-03-2024</v>
      </c>
    </row>
    <row r="985" spans="1:5" x14ac:dyDescent="0.3">
      <c r="A985">
        <v>1983</v>
      </c>
      <c r="B985" t="str">
        <f>IF(TRIM(Raw_Data!B985)="","Unknown",PROPER(TRIM(Raw_Data!B985)))</f>
        <v>Tablet</v>
      </c>
      <c r="C985" t="str">
        <f>IF(TRIM(Raw_Data!C985)="","South",TRIM(Raw_Data!C985))</f>
        <v>East</v>
      </c>
      <c r="D985">
        <f>IF(TRIM(Raw_Data!D985)="",30435.80739,Raw_Data!D985)</f>
        <v>55835.05</v>
      </c>
      <c r="E985" t="str">
        <f>TEXT(Raw_Data!E985,"DD-MM-YYYY")</f>
        <v>14-03-2024</v>
      </c>
    </row>
    <row r="986" spans="1:5" x14ac:dyDescent="0.3">
      <c r="A986">
        <v>1984</v>
      </c>
      <c r="B986" t="str">
        <f>IF(TRIM(Raw_Data!B986)="","Unknown",PROPER(TRIM(Raw_Data!B986)))</f>
        <v>Keyboard</v>
      </c>
      <c r="C986" t="str">
        <f>IF(TRIM(Raw_Data!C986)="","South",TRIM(Raw_Data!C986))</f>
        <v>North</v>
      </c>
      <c r="D986">
        <f>IF(TRIM(Raw_Data!D986)="",30435.80739,Raw_Data!D986)</f>
        <v>20220.990000000002</v>
      </c>
      <c r="E986" t="str">
        <f>TEXT(Raw_Data!E986,"DD-MM-YYYY")</f>
        <v>27-04-2024</v>
      </c>
    </row>
    <row r="987" spans="1:5" x14ac:dyDescent="0.3">
      <c r="A987">
        <v>1985</v>
      </c>
      <c r="B987" t="str">
        <f>IF(TRIM(Raw_Data!B987)="","Unknown",PROPER(TRIM(Raw_Data!B987)))</f>
        <v>Mouse</v>
      </c>
      <c r="C987" t="str">
        <f>IF(TRIM(Raw_Data!C987)="","South",TRIM(Raw_Data!C987))</f>
        <v>South</v>
      </c>
      <c r="D987">
        <f>IF(TRIM(Raw_Data!D987)="",30435.80739,Raw_Data!D987)</f>
        <v>27292.69</v>
      </c>
      <c r="E987" t="str">
        <f>TEXT(Raw_Data!E987,"DD-MM-YYYY")</f>
        <v>20-11-2024</v>
      </c>
    </row>
    <row r="988" spans="1:5" x14ac:dyDescent="0.3">
      <c r="A988">
        <v>1986</v>
      </c>
      <c r="B988" t="str">
        <f>IF(TRIM(Raw_Data!B988)="","Unknown",PROPER(TRIM(Raw_Data!B988)))</f>
        <v>Mouse</v>
      </c>
      <c r="C988" t="str">
        <f>IF(TRIM(Raw_Data!C988)="","South",TRIM(Raw_Data!C988))</f>
        <v>South</v>
      </c>
      <c r="D988">
        <f>IF(TRIM(Raw_Data!D988)="",30435.80739,Raw_Data!D988)</f>
        <v>39932.32</v>
      </c>
      <c r="E988" t="str">
        <f>TEXT(Raw_Data!E988,"DD-MM-YYYY")</f>
        <v>29-02-2024</v>
      </c>
    </row>
    <row r="989" spans="1:5" x14ac:dyDescent="0.3">
      <c r="A989">
        <v>1987</v>
      </c>
      <c r="B989" t="str">
        <f>IF(TRIM(Raw_Data!B989)="","Unknown",PROPER(TRIM(Raw_Data!B989)))</f>
        <v>Monitor</v>
      </c>
      <c r="C989" t="str">
        <f>IF(TRIM(Raw_Data!C989)="","South",TRIM(Raw_Data!C989))</f>
        <v>South</v>
      </c>
      <c r="D989">
        <f>IF(TRIM(Raw_Data!D989)="",30435.80739,Raw_Data!D989)</f>
        <v>32122.26</v>
      </c>
      <c r="E989" t="str">
        <f>TEXT(Raw_Data!E989,"DD-MM-YYYY")</f>
        <v>23-10-2024</v>
      </c>
    </row>
    <row r="990" spans="1:5" x14ac:dyDescent="0.3">
      <c r="A990">
        <v>1988</v>
      </c>
      <c r="B990" t="str">
        <f>IF(TRIM(Raw_Data!B990)="","Unknown",PROPER(TRIM(Raw_Data!B990)))</f>
        <v>Tablet</v>
      </c>
      <c r="C990" t="str">
        <f>IF(TRIM(Raw_Data!C990)="","South",TRIM(Raw_Data!C990))</f>
        <v>North</v>
      </c>
      <c r="D990">
        <f>IF(TRIM(Raw_Data!D990)="",30435.80739,Raw_Data!D990)</f>
        <v>5601.64</v>
      </c>
      <c r="E990" t="str">
        <f>TEXT(Raw_Data!E990,"DD-MM-YYYY")</f>
        <v>29-03-2024</v>
      </c>
    </row>
    <row r="991" spans="1:5" x14ac:dyDescent="0.3">
      <c r="A991">
        <v>1989</v>
      </c>
      <c r="B991" t="str">
        <f>IF(TRIM(Raw_Data!B991)="","Unknown",PROPER(TRIM(Raw_Data!B991)))</f>
        <v>Mouse</v>
      </c>
      <c r="C991" t="str">
        <f>IF(TRIM(Raw_Data!C991)="","South",TRIM(Raw_Data!C991))</f>
        <v>West</v>
      </c>
      <c r="D991">
        <f>IF(TRIM(Raw_Data!D991)="",30435.80739,Raw_Data!D991)</f>
        <v>21594.09</v>
      </c>
      <c r="E991" t="str">
        <f>TEXT(Raw_Data!E991,"DD-MM-YYYY")</f>
        <v>02-01-2024</v>
      </c>
    </row>
    <row r="992" spans="1:5" x14ac:dyDescent="0.3">
      <c r="A992">
        <v>1990</v>
      </c>
      <c r="B992" t="str">
        <f>IF(TRIM(Raw_Data!B992)="","Unknown",PROPER(TRIM(Raw_Data!B992)))</f>
        <v>Laptop</v>
      </c>
      <c r="C992" t="str">
        <f>IF(TRIM(Raw_Data!C992)="","South",TRIM(Raw_Data!C992))</f>
        <v>North</v>
      </c>
      <c r="D992">
        <f>IF(TRIM(Raw_Data!D992)="",30435.80739,Raw_Data!D992)</f>
        <v>16144.15</v>
      </c>
      <c r="E992" t="str">
        <f>TEXT(Raw_Data!E992,"DD-MM-YYYY")</f>
        <v>12-02-2024</v>
      </c>
    </row>
    <row r="993" spans="1:5" x14ac:dyDescent="0.3">
      <c r="A993">
        <v>1991</v>
      </c>
      <c r="B993" t="str">
        <f>IF(TRIM(Raw_Data!B993)="","Unknown",PROPER(TRIM(Raw_Data!B993)))</f>
        <v>Unknown</v>
      </c>
      <c r="C993" t="str">
        <f>IF(TRIM(Raw_Data!C993)="","South",TRIM(Raw_Data!C993))</f>
        <v>South</v>
      </c>
      <c r="D993">
        <f>IF(TRIM(Raw_Data!D993)="",30435.80739,Raw_Data!D993)</f>
        <v>18893.580000000002</v>
      </c>
      <c r="E993" t="str">
        <f>TEXT(Raw_Data!E993,"DD-MM-YYYY")</f>
        <v>03-09-2024</v>
      </c>
    </row>
    <row r="994" spans="1:5" x14ac:dyDescent="0.3">
      <c r="A994">
        <v>1992</v>
      </c>
      <c r="B994" t="str">
        <f>IF(TRIM(Raw_Data!B994)="","Unknown",PROPER(TRIM(Raw_Data!B994)))</f>
        <v>Tablet</v>
      </c>
      <c r="C994" t="str">
        <f>IF(TRIM(Raw_Data!C994)="","South",TRIM(Raw_Data!C994))</f>
        <v>South</v>
      </c>
      <c r="D994">
        <f>IF(TRIM(Raw_Data!D994)="",30435.80739,Raw_Data!D994)</f>
        <v>19923.25</v>
      </c>
      <c r="E994" t="str">
        <f>TEXT(Raw_Data!E994,"DD-MM-YYYY")</f>
        <v>19-07-2024</v>
      </c>
    </row>
    <row r="995" spans="1:5" x14ac:dyDescent="0.3">
      <c r="A995">
        <v>1993</v>
      </c>
      <c r="B995" t="str">
        <f>IF(TRIM(Raw_Data!B995)="","Unknown",PROPER(TRIM(Raw_Data!B995)))</f>
        <v>Monitor</v>
      </c>
      <c r="C995" t="str">
        <f>IF(TRIM(Raw_Data!C995)="","South",TRIM(Raw_Data!C995))</f>
        <v>North</v>
      </c>
      <c r="D995">
        <f>IF(TRIM(Raw_Data!D995)="",30435.80739,Raw_Data!D995)</f>
        <v>12433.56</v>
      </c>
      <c r="E995" t="str">
        <f>TEXT(Raw_Data!E995,"DD-MM-YYYY")</f>
        <v>14-03-2024</v>
      </c>
    </row>
    <row r="996" spans="1:5" x14ac:dyDescent="0.3">
      <c r="A996">
        <v>1994</v>
      </c>
      <c r="B996" t="str">
        <f>IF(TRIM(Raw_Data!B996)="","Unknown",PROPER(TRIM(Raw_Data!B996)))</f>
        <v>Tablet</v>
      </c>
      <c r="C996" t="str">
        <f>IF(TRIM(Raw_Data!C996)="","South",TRIM(Raw_Data!C996))</f>
        <v>North</v>
      </c>
      <c r="D996">
        <f>IF(TRIM(Raw_Data!D996)="",30435.80739,Raw_Data!D996)</f>
        <v>4318.55</v>
      </c>
      <c r="E996" t="str">
        <f>TEXT(Raw_Data!E996,"DD-MM-YYYY")</f>
        <v>12-11-2024</v>
      </c>
    </row>
    <row r="997" spans="1:5" x14ac:dyDescent="0.3">
      <c r="A997">
        <v>1995</v>
      </c>
      <c r="B997" t="str">
        <f>IF(TRIM(Raw_Data!B997)="","Unknown",PROPER(TRIM(Raw_Data!B997)))</f>
        <v>Tablet</v>
      </c>
      <c r="C997" t="str">
        <f>IF(TRIM(Raw_Data!C997)="","South",TRIM(Raw_Data!C997))</f>
        <v>North</v>
      </c>
      <c r="D997">
        <f>IF(TRIM(Raw_Data!D997)="",30435.80739,Raw_Data!D997)</f>
        <v>56698.44</v>
      </c>
      <c r="E997" t="str">
        <f>TEXT(Raw_Data!E997,"DD-MM-YYYY")</f>
        <v>18-10-2024</v>
      </c>
    </row>
    <row r="998" spans="1:5" x14ac:dyDescent="0.3">
      <c r="A998">
        <v>1996</v>
      </c>
      <c r="B998" t="str">
        <f>IF(TRIM(Raw_Data!B998)="","Unknown",PROPER(TRIM(Raw_Data!B998)))</f>
        <v>Keyboard</v>
      </c>
      <c r="C998" t="str">
        <f>IF(TRIM(Raw_Data!C998)="","South",TRIM(Raw_Data!C998))</f>
        <v>West</v>
      </c>
      <c r="D998">
        <f>IF(TRIM(Raw_Data!D998)="",30435.80739,Raw_Data!D998)</f>
        <v>40856.410000000003</v>
      </c>
      <c r="E998" t="str">
        <f>TEXT(Raw_Data!E998,"DD-MM-YYYY")</f>
        <v>24-04-2024</v>
      </c>
    </row>
    <row r="999" spans="1:5" x14ac:dyDescent="0.3">
      <c r="A999">
        <v>1111</v>
      </c>
      <c r="B999" t="str">
        <f>IF(TRIM(Raw_Data!B999)="","Unknown",PROPER(TRIM(Raw_Data!B999)))</f>
        <v>Laptop</v>
      </c>
      <c r="C999" t="str">
        <f>IF(TRIM(Raw_Data!C999)="","South",TRIM(Raw_Data!C999))</f>
        <v>South</v>
      </c>
      <c r="D999">
        <f>IF(TRIM(Raw_Data!D999)="",30435.80739,Raw_Data!D999)</f>
        <v>41048.51</v>
      </c>
      <c r="E999" t="str">
        <f>TEXT(Raw_Data!E999,"DD-MM-YYYY")</f>
        <v>21-03-2024</v>
      </c>
    </row>
    <row r="1000" spans="1:5" x14ac:dyDescent="0.3">
      <c r="A1000">
        <v>1998</v>
      </c>
      <c r="B1000" t="str">
        <f>IF(TRIM(Raw_Data!B1000)="","Unknown",PROPER(TRIM(Raw_Data!B1000)))</f>
        <v>Keyboard</v>
      </c>
      <c r="C1000" t="str">
        <f>IF(TRIM(Raw_Data!C1000)="","South",TRIM(Raw_Data!C1000))</f>
        <v>West</v>
      </c>
      <c r="D1000">
        <f>IF(TRIM(Raw_Data!D1000)="",30435.80739,Raw_Data!D1000)</f>
        <v>51126.41</v>
      </c>
      <c r="E1000" t="str">
        <f>TEXT(Raw_Data!E1000,"DD-MM-YYYY")</f>
        <v>16-06-2024</v>
      </c>
    </row>
    <row r="1001" spans="1:5" x14ac:dyDescent="0.3">
      <c r="A1001">
        <v>1999</v>
      </c>
      <c r="B1001" t="str">
        <f>IF(TRIM(Raw_Data!B1001)="","Unknown",PROPER(TRIM(Raw_Data!B1001)))</f>
        <v>Tablet</v>
      </c>
      <c r="C1001" t="str">
        <f>IF(TRIM(Raw_Data!C1001)="","South",TRIM(Raw_Data!C1001))</f>
        <v>South</v>
      </c>
      <c r="D1001">
        <f>IF(TRIM(Raw_Data!D1001)="",30435.80739,Raw_Data!D1001)</f>
        <v>38362.870000000003</v>
      </c>
      <c r="E1001" t="str">
        <f>TEXT(Raw_Data!E1001,"DD-MM-YYYY")</f>
        <v>05-05-2024</v>
      </c>
    </row>
    <row r="1002" spans="1:5" x14ac:dyDescent="0.3">
      <c r="A1002">
        <v>2000</v>
      </c>
      <c r="B1002" t="str">
        <f>IF(TRIM(Raw_Data!B1002)="","Unknown",PROPER(TRIM(Raw_Data!B1002)))</f>
        <v>Mouse</v>
      </c>
      <c r="C1002" t="str">
        <f>IF(TRIM(Raw_Data!C1002)="","South",TRIM(Raw_Data!C1002))</f>
        <v>North</v>
      </c>
      <c r="D1002">
        <f>IF(TRIM(Raw_Data!D1002)="",30435.80739,Raw_Data!D1002)</f>
        <v>6264.11</v>
      </c>
      <c r="E1002" t="str">
        <f>TEXT(Raw_Data!E1002,"DD-MM-YYYY")</f>
        <v>23-02-2024</v>
      </c>
    </row>
    <row r="1003" spans="1:5" x14ac:dyDescent="0.3">
      <c r="A1003">
        <v>2001</v>
      </c>
      <c r="B1003" t="str">
        <f>IF(TRIM(Raw_Data!B1003)="","Unknown",PROPER(TRIM(Raw_Data!B1003)))</f>
        <v>Tablet</v>
      </c>
      <c r="C1003" t="str">
        <f>IF(TRIM(Raw_Data!C1003)="","South",TRIM(Raw_Data!C1003))</f>
        <v>West</v>
      </c>
      <c r="D1003">
        <f>IF(TRIM(Raw_Data!D1003)="",30435.80739,Raw_Data!D1003)</f>
        <v>6589.6</v>
      </c>
      <c r="E1003" t="str">
        <f>TEXT(Raw_Data!E1003,"DD-MM-YYYY")</f>
        <v>20-03-2024</v>
      </c>
    </row>
    <row r="1004" spans="1:5" x14ac:dyDescent="0.3">
      <c r="A1004">
        <v>2002</v>
      </c>
      <c r="B1004" t="str">
        <f>IF(TRIM(Raw_Data!B1004)="","Unknown",PROPER(TRIM(Raw_Data!B1004)))</f>
        <v>Mouse</v>
      </c>
      <c r="C1004" t="str">
        <f>IF(TRIM(Raw_Data!C1004)="","South",TRIM(Raw_Data!C1004))</f>
        <v>North</v>
      </c>
      <c r="D1004">
        <f>IF(TRIM(Raw_Data!D1004)="",30435.80739,Raw_Data!D1004)</f>
        <v>35767.86</v>
      </c>
      <c r="E1004" t="str">
        <f>TEXT(Raw_Data!E1004,"DD-MM-YYYY")</f>
        <v>24-07-2024</v>
      </c>
    </row>
    <row r="1005" spans="1:5" x14ac:dyDescent="0.3">
      <c r="A1005">
        <v>2003</v>
      </c>
      <c r="B1005" t="str">
        <f>IF(TRIM(Raw_Data!B1005)="","Unknown",PROPER(TRIM(Raw_Data!B1005)))</f>
        <v>Tablet</v>
      </c>
      <c r="C1005" t="str">
        <f>IF(TRIM(Raw_Data!C1005)="","South",TRIM(Raw_Data!C1005))</f>
        <v>East</v>
      </c>
      <c r="D1005">
        <f>IF(TRIM(Raw_Data!D1005)="",30435.80739,Raw_Data!D1005)</f>
        <v>15744.2</v>
      </c>
      <c r="E1005" t="str">
        <f>TEXT(Raw_Data!E1005,"DD-MM-YYYY")</f>
        <v>19-02-2024</v>
      </c>
    </row>
    <row r="1006" spans="1:5" x14ac:dyDescent="0.3">
      <c r="A1006">
        <v>2004</v>
      </c>
      <c r="B1006" t="str">
        <f>IF(TRIM(Raw_Data!B1006)="","Unknown",PROPER(TRIM(Raw_Data!B1006)))</f>
        <v>Laptop</v>
      </c>
      <c r="C1006" t="str">
        <f>IF(TRIM(Raw_Data!C1006)="","South",TRIM(Raw_Data!C1006))</f>
        <v>West</v>
      </c>
      <c r="D1006">
        <f>IF(TRIM(Raw_Data!D1006)="",30435.80739,Raw_Data!D1006)</f>
        <v>30245.759999999998</v>
      </c>
      <c r="E1006" t="str">
        <f>TEXT(Raw_Data!E1006,"DD-MM-YYYY")</f>
        <v>03-08-2024</v>
      </c>
    </row>
    <row r="1007" spans="1:5" x14ac:dyDescent="0.3">
      <c r="A1007">
        <v>2005</v>
      </c>
      <c r="B1007" t="str">
        <f>IF(TRIM(Raw_Data!B1007)="","Unknown",PROPER(TRIM(Raw_Data!B1007)))</f>
        <v>Mouse</v>
      </c>
      <c r="C1007" t="str">
        <f>IF(TRIM(Raw_Data!C1007)="","South",TRIM(Raw_Data!C1007))</f>
        <v>West</v>
      </c>
      <c r="D1007">
        <f>IF(TRIM(Raw_Data!D1007)="",30435.80739,Raw_Data!D1007)</f>
        <v>49682.96</v>
      </c>
      <c r="E1007" t="str">
        <f>TEXT(Raw_Data!E1007,"DD-MM-YYYY")</f>
        <v>21-01-2024</v>
      </c>
    </row>
    <row r="1008" spans="1:5" x14ac:dyDescent="0.3">
      <c r="A1008">
        <v>2006</v>
      </c>
      <c r="B1008" t="str">
        <f>IF(TRIM(Raw_Data!B1008)="","Unknown",PROPER(TRIM(Raw_Data!B1008)))</f>
        <v>Keyboard</v>
      </c>
      <c r="C1008" t="str">
        <f>IF(TRIM(Raw_Data!C1008)="","South",TRIM(Raw_Data!C1008))</f>
        <v>South</v>
      </c>
      <c r="D1008">
        <f>IF(TRIM(Raw_Data!D1008)="",30435.80739,Raw_Data!D1008)</f>
        <v>27187.5</v>
      </c>
      <c r="E1008" t="str">
        <f>TEXT(Raw_Data!E1008,"DD-MM-YYYY")</f>
        <v>08-03-2024</v>
      </c>
    </row>
    <row r="1009" spans="1:5" x14ac:dyDescent="0.3">
      <c r="A1009">
        <v>2007</v>
      </c>
      <c r="B1009" t="str">
        <f>IF(TRIM(Raw_Data!B1009)="","Unknown",PROPER(TRIM(Raw_Data!B1009)))</f>
        <v>Mouse</v>
      </c>
      <c r="C1009" t="str">
        <f>IF(TRIM(Raw_Data!C1009)="","South",TRIM(Raw_Data!C1009))</f>
        <v>West</v>
      </c>
      <c r="D1009">
        <f>IF(TRIM(Raw_Data!D1009)="",30435.80739,Raw_Data!D1009)</f>
        <v>40160.33</v>
      </c>
      <c r="E1009" t="str">
        <f>TEXT(Raw_Data!E1009,"DD-MM-YYYY")</f>
        <v>02-07-2024</v>
      </c>
    </row>
    <row r="1010" spans="1:5" x14ac:dyDescent="0.3">
      <c r="A1010">
        <v>2008</v>
      </c>
      <c r="B1010" t="str">
        <f>IF(TRIM(Raw_Data!B1010)="","Unknown",PROPER(TRIM(Raw_Data!B1010)))</f>
        <v>Monitor</v>
      </c>
      <c r="C1010" t="str">
        <f>IF(TRIM(Raw_Data!C1010)="","South",TRIM(Raw_Data!C1010))</f>
        <v>West</v>
      </c>
      <c r="D1010">
        <f>IF(TRIM(Raw_Data!D1010)="",30435.80739,Raw_Data!D1010)</f>
        <v>31706.91</v>
      </c>
      <c r="E1010" t="str">
        <f>TEXT(Raw_Data!E1010,"DD-MM-YYYY")</f>
        <v>11-10-2024</v>
      </c>
    </row>
    <row r="1011" spans="1:5" x14ac:dyDescent="0.3">
      <c r="A1011">
        <v>2009</v>
      </c>
      <c r="B1011" t="str">
        <f>IF(TRIM(Raw_Data!B1011)="","Unknown",PROPER(TRIM(Raw_Data!B1011)))</f>
        <v>Tablet</v>
      </c>
      <c r="C1011" t="str">
        <f>IF(TRIM(Raw_Data!C1011)="","South",TRIM(Raw_Data!C1011))</f>
        <v>East</v>
      </c>
      <c r="D1011">
        <f>IF(TRIM(Raw_Data!D1011)="",30435.80739,Raw_Data!D1011)</f>
        <v>45463</v>
      </c>
      <c r="E1011" t="str">
        <f>TEXT(Raw_Data!E1011,"DD-MM-YYYY")</f>
        <v>24-06-2024</v>
      </c>
    </row>
    <row r="1012" spans="1:5" x14ac:dyDescent="0.3">
      <c r="A1012">
        <v>2010</v>
      </c>
      <c r="B1012" t="str">
        <f>IF(TRIM(Raw_Data!B1012)="","Unknown",PROPER(TRIM(Raw_Data!B1012)))</f>
        <v>Laptop</v>
      </c>
      <c r="C1012" t="str">
        <f>IF(TRIM(Raw_Data!C1012)="","South",TRIM(Raw_Data!C1012))</f>
        <v>West</v>
      </c>
      <c r="D1012">
        <f>IF(TRIM(Raw_Data!D1012)="",30435.80739,Raw_Data!D1012)</f>
        <v>26791.74</v>
      </c>
      <c r="E1012" t="str">
        <f>TEXT(Raw_Data!E1012,"DD-MM-YYYY")</f>
        <v>14-08-2024</v>
      </c>
    </row>
    <row r="1013" spans="1:5" x14ac:dyDescent="0.3">
      <c r="A1013">
        <v>2011</v>
      </c>
      <c r="B1013" t="str">
        <f>IF(TRIM(Raw_Data!B1013)="","Unknown",PROPER(TRIM(Raw_Data!B1013)))</f>
        <v>Mouse</v>
      </c>
      <c r="C1013" t="str">
        <f>IF(TRIM(Raw_Data!C1013)="","South",TRIM(Raw_Data!C1013))</f>
        <v>East</v>
      </c>
      <c r="D1013">
        <f>IF(TRIM(Raw_Data!D1013)="",30435.80739,Raw_Data!D1013)</f>
        <v>19908.73</v>
      </c>
      <c r="E1013" t="str">
        <f>TEXT(Raw_Data!E1013,"DD-MM-YYYY")</f>
        <v>22-06-2024</v>
      </c>
    </row>
    <row r="1014" spans="1:5" x14ac:dyDescent="0.3">
      <c r="A1014">
        <v>2012</v>
      </c>
      <c r="B1014" t="str">
        <f>IF(TRIM(Raw_Data!B1014)="","Unknown",PROPER(TRIM(Raw_Data!B1014)))</f>
        <v>Mouse</v>
      </c>
      <c r="C1014" t="str">
        <f>IF(TRIM(Raw_Data!C1014)="","South",TRIM(Raw_Data!C1014))</f>
        <v>North</v>
      </c>
      <c r="D1014">
        <f>IF(TRIM(Raw_Data!D1014)="",30435.80739,Raw_Data!D1014)</f>
        <v>50360.59</v>
      </c>
      <c r="E1014" t="str">
        <f>TEXT(Raw_Data!E1014,"DD-MM-YYYY")</f>
        <v>24-02-2024</v>
      </c>
    </row>
    <row r="1015" spans="1:5" x14ac:dyDescent="0.3">
      <c r="A1015">
        <v>2013</v>
      </c>
      <c r="B1015" t="str">
        <f>IF(TRIM(Raw_Data!B1015)="","Unknown",PROPER(TRIM(Raw_Data!B1015)))</f>
        <v>Keyboard</v>
      </c>
      <c r="C1015" t="str">
        <f>IF(TRIM(Raw_Data!C1015)="","South",TRIM(Raw_Data!C1015))</f>
        <v>North</v>
      </c>
      <c r="D1015">
        <f>IF(TRIM(Raw_Data!D1015)="",30435.80739,Raw_Data!D1015)</f>
        <v>30435.807390000002</v>
      </c>
      <c r="E1015" t="str">
        <f>TEXT(Raw_Data!E1015,"DD-MM-YYYY")</f>
        <v>21-04-2024</v>
      </c>
    </row>
    <row r="1016" spans="1:5" x14ac:dyDescent="0.3">
      <c r="A1016">
        <v>2014</v>
      </c>
      <c r="B1016" t="str">
        <f>IF(TRIM(Raw_Data!B1016)="","Unknown",PROPER(TRIM(Raw_Data!B1016)))</f>
        <v>Unknown</v>
      </c>
      <c r="C1016" t="str">
        <f>IF(TRIM(Raw_Data!C1016)="","South",TRIM(Raw_Data!C1016))</f>
        <v>East</v>
      </c>
      <c r="D1016">
        <f>IF(TRIM(Raw_Data!D1016)="",30435.80739,Raw_Data!D1016)</f>
        <v>21235.02</v>
      </c>
      <c r="E1016" t="str">
        <f>TEXT(Raw_Data!E1016,"DD-MM-YYYY")</f>
        <v>27-03-2024</v>
      </c>
    </row>
    <row r="1017" spans="1:5" x14ac:dyDescent="0.3">
      <c r="A1017">
        <v>2015</v>
      </c>
      <c r="B1017" t="str">
        <f>IF(TRIM(Raw_Data!B1017)="","Unknown",PROPER(TRIM(Raw_Data!B1017)))</f>
        <v>Tablet</v>
      </c>
      <c r="C1017" t="str">
        <f>IF(TRIM(Raw_Data!C1017)="","South",TRIM(Raw_Data!C1017))</f>
        <v>North</v>
      </c>
      <c r="D1017">
        <f>IF(TRIM(Raw_Data!D1017)="",30435.80739,Raw_Data!D1017)</f>
        <v>56066.44</v>
      </c>
      <c r="E1017" t="str">
        <f>TEXT(Raw_Data!E1017,"DD-MM-YYYY")</f>
        <v>09-07-2024</v>
      </c>
    </row>
    <row r="1018" spans="1:5" x14ac:dyDescent="0.3">
      <c r="A1018">
        <v>2016</v>
      </c>
      <c r="B1018" t="str">
        <f>IF(TRIM(Raw_Data!B1018)="","Unknown",PROPER(TRIM(Raw_Data!B1018)))</f>
        <v>Keyboard</v>
      </c>
      <c r="C1018" t="str">
        <f>IF(TRIM(Raw_Data!C1018)="","South",TRIM(Raw_Data!C1018))</f>
        <v>South</v>
      </c>
      <c r="D1018">
        <f>IF(TRIM(Raw_Data!D1018)="",30435.80739,Raw_Data!D1018)</f>
        <v>51168.74</v>
      </c>
      <c r="E1018" t="str">
        <f>TEXT(Raw_Data!E1018,"DD-MM-YYYY")</f>
        <v>04-05-2024</v>
      </c>
    </row>
    <row r="1019" spans="1:5" x14ac:dyDescent="0.3">
      <c r="A1019">
        <v>2017</v>
      </c>
      <c r="B1019" t="str">
        <f>IF(TRIM(Raw_Data!B1019)="","Unknown",PROPER(TRIM(Raw_Data!B1019)))</f>
        <v>Keyboard</v>
      </c>
      <c r="C1019" t="str">
        <f>IF(TRIM(Raw_Data!C1019)="","South",TRIM(Raw_Data!C1019))</f>
        <v>South</v>
      </c>
      <c r="D1019">
        <f>IF(TRIM(Raw_Data!D1019)="",30435.80739,Raw_Data!D1019)</f>
        <v>56836.34</v>
      </c>
      <c r="E1019" t="str">
        <f>TEXT(Raw_Data!E1019,"DD-MM-YYYY")</f>
        <v>16-09-2024</v>
      </c>
    </row>
    <row r="1020" spans="1:5" x14ac:dyDescent="0.3">
      <c r="A1020">
        <v>2018</v>
      </c>
      <c r="B1020" t="str">
        <f>IF(TRIM(Raw_Data!B1020)="","Unknown",PROPER(TRIM(Raw_Data!B1020)))</f>
        <v>Tablet</v>
      </c>
      <c r="C1020" t="str">
        <f>IF(TRIM(Raw_Data!C1020)="","South",TRIM(Raw_Data!C1020))</f>
        <v>West</v>
      </c>
      <c r="D1020">
        <f>IF(TRIM(Raw_Data!D1020)="",30435.80739,Raw_Data!D1020)</f>
        <v>30137.1</v>
      </c>
      <c r="E1020" t="str">
        <f>TEXT(Raw_Data!E1020,"DD-MM-YYYY")</f>
        <v>04-09-2024</v>
      </c>
    </row>
    <row r="1021" spans="1:5" x14ac:dyDescent="0.3">
      <c r="A1021">
        <v>2019</v>
      </c>
      <c r="B1021" t="str">
        <f>IF(TRIM(Raw_Data!B1021)="","Unknown",PROPER(TRIM(Raw_Data!B1021)))</f>
        <v>Keyboard</v>
      </c>
      <c r="C1021" t="str">
        <f>IF(TRIM(Raw_Data!C1021)="","South",TRIM(Raw_Data!C1021))</f>
        <v>West</v>
      </c>
      <c r="D1021">
        <f>IF(TRIM(Raw_Data!D1021)="",30435.80739,Raw_Data!D1021)</f>
        <v>47431.57</v>
      </c>
      <c r="E1021" t="str">
        <f>TEXT(Raw_Data!E1021,"DD-MM-YYYY")</f>
        <v>10-05-2024</v>
      </c>
    </row>
    <row r="1022" spans="1:5" x14ac:dyDescent="0.3">
      <c r="A1022">
        <v>2020</v>
      </c>
      <c r="B1022" t="str">
        <f>IF(TRIM(Raw_Data!B1022)="","Unknown",PROPER(TRIM(Raw_Data!B1022)))</f>
        <v>Keyboard</v>
      </c>
      <c r="C1022" t="str">
        <f>IF(TRIM(Raw_Data!C1022)="","South",TRIM(Raw_Data!C1022))</f>
        <v>South</v>
      </c>
      <c r="D1022">
        <f>IF(TRIM(Raw_Data!D1022)="",30435.80739,Raw_Data!D1022)</f>
        <v>43680.29</v>
      </c>
      <c r="E1022" t="str">
        <f>TEXT(Raw_Data!E1022,"DD-MM-YYYY")</f>
        <v>29-08-2024</v>
      </c>
    </row>
    <row r="1023" spans="1:5" x14ac:dyDescent="0.3">
      <c r="A1023">
        <v>2021</v>
      </c>
      <c r="B1023" t="str">
        <f>IF(TRIM(Raw_Data!B1023)="","Unknown",PROPER(TRIM(Raw_Data!B1023)))</f>
        <v>Tablet</v>
      </c>
      <c r="C1023" t="str">
        <f>IF(TRIM(Raw_Data!C1023)="","South",TRIM(Raw_Data!C1023))</f>
        <v>South</v>
      </c>
      <c r="D1023">
        <f>IF(TRIM(Raw_Data!D1023)="",30435.80739,Raw_Data!D1023)</f>
        <v>30511.68</v>
      </c>
      <c r="E1023" t="str">
        <f>TEXT(Raw_Data!E1023,"DD-MM-YYYY")</f>
        <v>25-03-2024</v>
      </c>
    </row>
    <row r="1024" spans="1:5" x14ac:dyDescent="0.3">
      <c r="A1024">
        <v>2022</v>
      </c>
      <c r="B1024" t="str">
        <f>IF(TRIM(Raw_Data!B1024)="","Unknown",PROPER(TRIM(Raw_Data!B1024)))</f>
        <v>Tablet</v>
      </c>
      <c r="C1024" t="str">
        <f>IF(TRIM(Raw_Data!C1024)="","South",TRIM(Raw_Data!C1024))</f>
        <v>North</v>
      </c>
      <c r="D1024">
        <f>IF(TRIM(Raw_Data!D1024)="",30435.80739,Raw_Data!D1024)</f>
        <v>35864.050000000003</v>
      </c>
      <c r="E1024" t="str">
        <f>TEXT(Raw_Data!E1024,"DD-MM-YYYY")</f>
        <v>20-08-2024</v>
      </c>
    </row>
    <row r="1025" spans="1:5" x14ac:dyDescent="0.3">
      <c r="A1025">
        <v>2023</v>
      </c>
      <c r="B1025" t="str">
        <f>IF(TRIM(Raw_Data!B1025)="","Unknown",PROPER(TRIM(Raw_Data!B1025)))</f>
        <v>Tablet</v>
      </c>
      <c r="C1025" t="str">
        <f>IF(TRIM(Raw_Data!C1025)="","South",TRIM(Raw_Data!C1025))</f>
        <v>East</v>
      </c>
      <c r="D1025">
        <f>IF(TRIM(Raw_Data!D1025)="",30435.80739,Raw_Data!D1025)</f>
        <v>42532.26</v>
      </c>
      <c r="E1025" t="str">
        <f>TEXT(Raw_Data!E1025,"DD-MM-YYYY")</f>
        <v>02-11-2024</v>
      </c>
    </row>
    <row r="1026" spans="1:5" x14ac:dyDescent="0.3">
      <c r="A1026">
        <v>2024</v>
      </c>
      <c r="B1026" t="str">
        <f>IF(TRIM(Raw_Data!B1026)="","Unknown",PROPER(TRIM(Raw_Data!B1026)))</f>
        <v>Laptop</v>
      </c>
      <c r="C1026" t="str">
        <f>IF(TRIM(Raw_Data!C1026)="","South",TRIM(Raw_Data!C1026))</f>
        <v>South</v>
      </c>
      <c r="D1026">
        <f>IF(TRIM(Raw_Data!D1026)="",30435.80739,Raw_Data!D1026)</f>
        <v>33011.949999999997</v>
      </c>
      <c r="E1026" t="str">
        <f>TEXT(Raw_Data!E1026,"DD-MM-YYYY")</f>
        <v>04-01-2024</v>
      </c>
    </row>
    <row r="1027" spans="1:5" x14ac:dyDescent="0.3">
      <c r="A1027">
        <v>2025</v>
      </c>
      <c r="B1027" t="str">
        <f>IF(TRIM(Raw_Data!B1027)="","Unknown",PROPER(TRIM(Raw_Data!B1027)))</f>
        <v>Mouse</v>
      </c>
      <c r="C1027" t="str">
        <f>IF(TRIM(Raw_Data!C1027)="","South",TRIM(Raw_Data!C1027))</f>
        <v>East</v>
      </c>
      <c r="D1027">
        <f>IF(TRIM(Raw_Data!D1027)="",30435.80739,Raw_Data!D1027)</f>
        <v>30518</v>
      </c>
      <c r="E1027" t="str">
        <f>TEXT(Raw_Data!E1027,"DD-MM-YYYY")</f>
        <v>24-09-2024</v>
      </c>
    </row>
    <row r="1028" spans="1:5" x14ac:dyDescent="0.3">
      <c r="A1028">
        <v>2026</v>
      </c>
      <c r="B1028" t="str">
        <f>IF(TRIM(Raw_Data!B1028)="","Unknown",PROPER(TRIM(Raw_Data!B1028)))</f>
        <v>Laptop</v>
      </c>
      <c r="C1028" t="str">
        <f>IF(TRIM(Raw_Data!C1028)="","South",TRIM(Raw_Data!C1028))</f>
        <v>West</v>
      </c>
      <c r="D1028">
        <f>IF(TRIM(Raw_Data!D1028)="",30435.80739,Raw_Data!D1028)</f>
        <v>37716.68</v>
      </c>
      <c r="E1028" t="str">
        <f>TEXT(Raw_Data!E1028,"DD-MM-YYYY")</f>
        <v>02-02-2024</v>
      </c>
    </row>
    <row r="1029" spans="1:5" x14ac:dyDescent="0.3">
      <c r="A1029">
        <v>2027</v>
      </c>
      <c r="B1029" t="str">
        <f>IF(TRIM(Raw_Data!B1029)="","Unknown",PROPER(TRIM(Raw_Data!B1029)))</f>
        <v>Laptop</v>
      </c>
      <c r="C1029" t="str">
        <f>IF(TRIM(Raw_Data!C1029)="","South",TRIM(Raw_Data!C1029))</f>
        <v>East</v>
      </c>
      <c r="D1029">
        <f>IF(TRIM(Raw_Data!D1029)="",30435.80739,Raw_Data!D1029)</f>
        <v>42624.3</v>
      </c>
      <c r="E1029" t="str">
        <f>TEXT(Raw_Data!E1029,"DD-MM-YYYY")</f>
        <v>01-10-2024</v>
      </c>
    </row>
    <row r="1030" spans="1:5" x14ac:dyDescent="0.3">
      <c r="A1030">
        <v>2028</v>
      </c>
      <c r="B1030" t="str">
        <f>IF(TRIM(Raw_Data!B1030)="","Unknown",PROPER(TRIM(Raw_Data!B1030)))</f>
        <v>Laptop</v>
      </c>
      <c r="C1030" t="str">
        <f>IF(TRIM(Raw_Data!C1030)="","South",TRIM(Raw_Data!C1030))</f>
        <v>South</v>
      </c>
      <c r="D1030">
        <f>IF(TRIM(Raw_Data!D1030)="",30435.80739,Raw_Data!D1030)</f>
        <v>44110.06</v>
      </c>
      <c r="E1030" t="str">
        <f>TEXT(Raw_Data!E1030,"DD-MM-YYYY")</f>
        <v>02-05-2024</v>
      </c>
    </row>
    <row r="1031" spans="1:5" x14ac:dyDescent="0.3">
      <c r="A1031">
        <v>2029</v>
      </c>
      <c r="B1031" t="str">
        <f>IF(TRIM(Raw_Data!B1031)="","Unknown",PROPER(TRIM(Raw_Data!B1031)))</f>
        <v>Unknown</v>
      </c>
      <c r="C1031" t="str">
        <f>IF(TRIM(Raw_Data!C1031)="","South",TRIM(Raw_Data!C1031))</f>
        <v>East</v>
      </c>
      <c r="D1031">
        <f>IF(TRIM(Raw_Data!D1031)="",30435.80739,Raw_Data!D1031)</f>
        <v>53329.58</v>
      </c>
      <c r="E1031" t="str">
        <f>TEXT(Raw_Data!E1031,"DD-MM-YYYY")</f>
        <v>15-05-2024</v>
      </c>
    </row>
    <row r="1032" spans="1:5" x14ac:dyDescent="0.3">
      <c r="A1032">
        <v>2030</v>
      </c>
      <c r="B1032" t="str">
        <f>IF(TRIM(Raw_Data!B1032)="","Unknown",PROPER(TRIM(Raw_Data!B1032)))</f>
        <v>Keyboard</v>
      </c>
      <c r="C1032" t="str">
        <f>IF(TRIM(Raw_Data!C1032)="","South",TRIM(Raw_Data!C1032))</f>
        <v>East</v>
      </c>
      <c r="D1032">
        <f>IF(TRIM(Raw_Data!D1032)="",30435.80739,Raw_Data!D1032)</f>
        <v>35233.480000000003</v>
      </c>
      <c r="E1032" t="str">
        <f>TEXT(Raw_Data!E1032,"DD-MM-YYYY")</f>
        <v>02-02-2024</v>
      </c>
    </row>
    <row r="1033" spans="1:5" x14ac:dyDescent="0.3">
      <c r="A1033">
        <v>2031</v>
      </c>
      <c r="B1033" t="str">
        <f>IF(TRIM(Raw_Data!B1033)="","Unknown",PROPER(TRIM(Raw_Data!B1033)))</f>
        <v>Monitor</v>
      </c>
      <c r="C1033" t="str">
        <f>IF(TRIM(Raw_Data!C1033)="","South",TRIM(Raw_Data!C1033))</f>
        <v>West</v>
      </c>
      <c r="D1033">
        <f>IF(TRIM(Raw_Data!D1033)="",30435.80739,Raw_Data!D1033)</f>
        <v>36548.17</v>
      </c>
      <c r="E1033" t="str">
        <f>TEXT(Raw_Data!E1033,"DD-MM-YYYY")</f>
        <v>14-11-2024</v>
      </c>
    </row>
    <row r="1034" spans="1:5" x14ac:dyDescent="0.3">
      <c r="A1034">
        <v>2032</v>
      </c>
      <c r="B1034" t="str">
        <f>IF(TRIM(Raw_Data!B1034)="","Unknown",PROPER(TRIM(Raw_Data!B1034)))</f>
        <v>Unknown</v>
      </c>
      <c r="C1034" t="str">
        <f>IF(TRIM(Raw_Data!C1034)="","South",TRIM(Raw_Data!C1034))</f>
        <v>South</v>
      </c>
      <c r="D1034">
        <f>IF(TRIM(Raw_Data!D1034)="",30435.80739,Raw_Data!D1034)</f>
        <v>55650.52</v>
      </c>
      <c r="E1034" t="str">
        <f>TEXT(Raw_Data!E1034,"DD-MM-YYYY")</f>
        <v>12-12-2024</v>
      </c>
    </row>
    <row r="1035" spans="1:5" x14ac:dyDescent="0.3">
      <c r="A1035">
        <v>2033</v>
      </c>
      <c r="B1035" t="str">
        <f>IF(TRIM(Raw_Data!B1035)="","Unknown",PROPER(TRIM(Raw_Data!B1035)))</f>
        <v>Mouse</v>
      </c>
      <c r="C1035" t="str">
        <f>IF(TRIM(Raw_Data!C1035)="","South",TRIM(Raw_Data!C1035))</f>
        <v>East</v>
      </c>
      <c r="D1035">
        <f>IF(TRIM(Raw_Data!D1035)="",30435.80739,Raw_Data!D1035)</f>
        <v>39385.78</v>
      </c>
      <c r="E1035" t="str">
        <f>TEXT(Raw_Data!E1035,"DD-MM-YYYY")</f>
        <v>28-07-2024</v>
      </c>
    </row>
    <row r="1036" spans="1:5" x14ac:dyDescent="0.3">
      <c r="A1036">
        <v>2034</v>
      </c>
      <c r="B1036" t="str">
        <f>IF(TRIM(Raw_Data!B1036)="","Unknown",PROPER(TRIM(Raw_Data!B1036)))</f>
        <v>Monitor</v>
      </c>
      <c r="C1036" t="str">
        <f>IF(TRIM(Raw_Data!C1036)="","South",TRIM(Raw_Data!C1036))</f>
        <v>South</v>
      </c>
      <c r="D1036">
        <f>IF(TRIM(Raw_Data!D1036)="",30435.80739,Raw_Data!D1036)</f>
        <v>40373.72</v>
      </c>
      <c r="E1036" t="str">
        <f>TEXT(Raw_Data!E1036,"DD-MM-YYYY")</f>
        <v>23-01-2024</v>
      </c>
    </row>
    <row r="1037" spans="1:5" x14ac:dyDescent="0.3">
      <c r="A1037">
        <v>2035</v>
      </c>
      <c r="B1037" t="str">
        <f>IF(TRIM(Raw_Data!B1037)="","Unknown",PROPER(TRIM(Raw_Data!B1037)))</f>
        <v>Mouse</v>
      </c>
      <c r="C1037" t="str">
        <f>IF(TRIM(Raw_Data!C1037)="","South",TRIM(Raw_Data!C1037))</f>
        <v>East</v>
      </c>
      <c r="D1037">
        <f>IF(TRIM(Raw_Data!D1037)="",30435.80739,Raw_Data!D1037)</f>
        <v>3729.45</v>
      </c>
      <c r="E1037" t="str">
        <f>TEXT(Raw_Data!E1037,"DD-MM-YYYY")</f>
        <v>01-07-2024</v>
      </c>
    </row>
    <row r="1038" spans="1:5" x14ac:dyDescent="0.3">
      <c r="A1038">
        <v>2036</v>
      </c>
      <c r="B1038" t="str">
        <f>IF(TRIM(Raw_Data!B1038)="","Unknown",PROPER(TRIM(Raw_Data!B1038)))</f>
        <v>Mouse</v>
      </c>
      <c r="C1038" t="str">
        <f>IF(TRIM(Raw_Data!C1038)="","South",TRIM(Raw_Data!C1038))</f>
        <v>South</v>
      </c>
      <c r="D1038">
        <f>IF(TRIM(Raw_Data!D1038)="",30435.80739,Raw_Data!D1038)</f>
        <v>19855.78</v>
      </c>
      <c r="E1038" t="str">
        <f>TEXT(Raw_Data!E1038,"DD-MM-YYYY")</f>
        <v>14-09-2024</v>
      </c>
    </row>
    <row r="1039" spans="1:5" x14ac:dyDescent="0.3">
      <c r="A1039">
        <v>2037</v>
      </c>
      <c r="B1039" t="str">
        <f>IF(TRIM(Raw_Data!B1039)="","Unknown",PROPER(TRIM(Raw_Data!B1039)))</f>
        <v>Tablet</v>
      </c>
      <c r="C1039" t="str">
        <f>IF(TRIM(Raw_Data!C1039)="","South",TRIM(Raw_Data!C1039))</f>
        <v>East</v>
      </c>
      <c r="D1039">
        <f>IF(TRIM(Raw_Data!D1039)="",30435.80739,Raw_Data!D1039)</f>
        <v>12201.31</v>
      </c>
      <c r="E1039" t="str">
        <f>TEXT(Raw_Data!E1039,"DD-MM-YYYY")</f>
        <v>04-04-2024</v>
      </c>
    </row>
    <row r="1040" spans="1:5" x14ac:dyDescent="0.3">
      <c r="A1040">
        <v>2038</v>
      </c>
      <c r="B1040" t="str">
        <f>IF(TRIM(Raw_Data!B1040)="","Unknown",PROPER(TRIM(Raw_Data!B1040)))</f>
        <v>Tablet</v>
      </c>
      <c r="C1040" t="str">
        <f>IF(TRIM(Raw_Data!C1040)="","South",TRIM(Raw_Data!C1040))</f>
        <v>South</v>
      </c>
      <c r="D1040">
        <f>IF(TRIM(Raw_Data!D1040)="",30435.80739,Raw_Data!D1040)</f>
        <v>22093.29</v>
      </c>
      <c r="E1040" t="str">
        <f>TEXT(Raw_Data!E1040,"DD-MM-YYYY")</f>
        <v>29-03-2024</v>
      </c>
    </row>
    <row r="1041" spans="1:5" x14ac:dyDescent="0.3">
      <c r="A1041">
        <v>2039</v>
      </c>
      <c r="B1041" t="str">
        <f>IF(TRIM(Raw_Data!B1041)="","Unknown",PROPER(TRIM(Raw_Data!B1041)))</f>
        <v>Laptop</v>
      </c>
      <c r="C1041" t="str">
        <f>IF(TRIM(Raw_Data!C1041)="","South",TRIM(Raw_Data!C1041))</f>
        <v>East</v>
      </c>
      <c r="D1041">
        <f>IF(TRIM(Raw_Data!D1041)="",30435.80739,Raw_Data!D1041)</f>
        <v>11302.04</v>
      </c>
      <c r="E1041" t="str">
        <f>TEXT(Raw_Data!E1041,"DD-MM-YYYY")</f>
        <v>16-02-2024</v>
      </c>
    </row>
    <row r="1042" spans="1:5" x14ac:dyDescent="0.3">
      <c r="A1042">
        <v>2040</v>
      </c>
      <c r="B1042" t="str">
        <f>IF(TRIM(Raw_Data!B1042)="","Unknown",PROPER(TRIM(Raw_Data!B1042)))</f>
        <v>Laptop</v>
      </c>
      <c r="C1042" t="str">
        <f>IF(TRIM(Raw_Data!C1042)="","South",TRIM(Raw_Data!C1042))</f>
        <v>East</v>
      </c>
      <c r="D1042">
        <f>IF(TRIM(Raw_Data!D1042)="",30435.80739,Raw_Data!D1042)</f>
        <v>5340.24</v>
      </c>
      <c r="E1042" t="str">
        <f>TEXT(Raw_Data!E1042,"DD-MM-YYYY")</f>
        <v>10-05-2024</v>
      </c>
    </row>
    <row r="1043" spans="1:5" x14ac:dyDescent="0.3">
      <c r="A1043">
        <v>2041</v>
      </c>
      <c r="B1043" t="str">
        <f>IF(TRIM(Raw_Data!B1043)="","Unknown",PROPER(TRIM(Raw_Data!B1043)))</f>
        <v>Tablet</v>
      </c>
      <c r="C1043" t="str">
        <f>IF(TRIM(Raw_Data!C1043)="","South",TRIM(Raw_Data!C1043))</f>
        <v>North</v>
      </c>
      <c r="D1043">
        <f>IF(TRIM(Raw_Data!D1043)="",30435.80739,Raw_Data!D1043)</f>
        <v>17064.849999999999</v>
      </c>
      <c r="E1043" t="str">
        <f>TEXT(Raw_Data!E1043,"DD-MM-YYYY")</f>
        <v>11-11-2024</v>
      </c>
    </row>
    <row r="1044" spans="1:5" x14ac:dyDescent="0.3">
      <c r="A1044">
        <v>2042</v>
      </c>
      <c r="B1044" t="str">
        <f>IF(TRIM(Raw_Data!B1044)="","Unknown",PROPER(TRIM(Raw_Data!B1044)))</f>
        <v>Monitor</v>
      </c>
      <c r="C1044" t="str">
        <f>IF(TRIM(Raw_Data!C1044)="","South",TRIM(Raw_Data!C1044))</f>
        <v>West</v>
      </c>
      <c r="D1044">
        <f>IF(TRIM(Raw_Data!D1044)="",30435.80739,Raw_Data!D1044)</f>
        <v>56223.66</v>
      </c>
      <c r="E1044" t="str">
        <f>TEXT(Raw_Data!E1044,"DD-MM-YYYY")</f>
        <v>22-08-2024</v>
      </c>
    </row>
    <row r="1045" spans="1:5" x14ac:dyDescent="0.3">
      <c r="A1045">
        <v>2043</v>
      </c>
      <c r="B1045" t="str">
        <f>IF(TRIM(Raw_Data!B1045)="","Unknown",PROPER(TRIM(Raw_Data!B1045)))</f>
        <v>Tablet</v>
      </c>
      <c r="C1045" t="str">
        <f>IF(TRIM(Raw_Data!C1045)="","South",TRIM(Raw_Data!C1045))</f>
        <v>North</v>
      </c>
      <c r="D1045">
        <f>IF(TRIM(Raw_Data!D1045)="",30435.80739,Raw_Data!D1045)</f>
        <v>39038.480000000003</v>
      </c>
      <c r="E1045" t="str">
        <f>TEXT(Raw_Data!E1045,"DD-MM-YYYY")</f>
        <v>26-09-2024</v>
      </c>
    </row>
    <row r="1046" spans="1:5" x14ac:dyDescent="0.3">
      <c r="A1046">
        <v>2044</v>
      </c>
      <c r="B1046" t="str">
        <f>IF(TRIM(Raw_Data!B1046)="","Unknown",PROPER(TRIM(Raw_Data!B1046)))</f>
        <v>Unknown</v>
      </c>
      <c r="C1046" t="str">
        <f>IF(TRIM(Raw_Data!C1046)="","South",TRIM(Raw_Data!C1046))</f>
        <v>North</v>
      </c>
      <c r="D1046">
        <f>IF(TRIM(Raw_Data!D1046)="",30435.80739,Raw_Data!D1046)</f>
        <v>30435.807390000002</v>
      </c>
      <c r="E1046" t="str">
        <f>TEXT(Raw_Data!E1046,"DD-MM-YYYY")</f>
        <v>09-01-2024</v>
      </c>
    </row>
    <row r="1047" spans="1:5" x14ac:dyDescent="0.3">
      <c r="A1047">
        <v>2045</v>
      </c>
      <c r="B1047" t="str">
        <f>IF(TRIM(Raw_Data!B1047)="","Unknown",PROPER(TRIM(Raw_Data!B1047)))</f>
        <v>Mouse</v>
      </c>
      <c r="C1047" t="str">
        <f>IF(TRIM(Raw_Data!C1047)="","South",TRIM(Raw_Data!C1047))</f>
        <v>South</v>
      </c>
      <c r="D1047">
        <f>IF(TRIM(Raw_Data!D1047)="",30435.80739,Raw_Data!D1047)</f>
        <v>57293.77</v>
      </c>
      <c r="E1047" t="str">
        <f>TEXT(Raw_Data!E1047,"DD-MM-YYYY")</f>
        <v>27-01-2024</v>
      </c>
    </row>
    <row r="1048" spans="1:5" x14ac:dyDescent="0.3">
      <c r="A1048">
        <v>2046</v>
      </c>
      <c r="B1048" t="str">
        <f>IF(TRIM(Raw_Data!B1048)="","Unknown",PROPER(TRIM(Raw_Data!B1048)))</f>
        <v>Mouse</v>
      </c>
      <c r="C1048" t="str">
        <f>IF(TRIM(Raw_Data!C1048)="","South",TRIM(Raw_Data!C1048))</f>
        <v>North</v>
      </c>
      <c r="D1048">
        <f>IF(TRIM(Raw_Data!D1048)="",30435.80739,Raw_Data!D1048)</f>
        <v>7468.54</v>
      </c>
      <c r="E1048" t="str">
        <f>TEXT(Raw_Data!E1048,"DD-MM-YYYY")</f>
        <v>09-02-2024</v>
      </c>
    </row>
    <row r="1049" spans="1:5" x14ac:dyDescent="0.3">
      <c r="A1049">
        <v>2047</v>
      </c>
      <c r="B1049" t="str">
        <f>IF(TRIM(Raw_Data!B1049)="","Unknown",PROPER(TRIM(Raw_Data!B1049)))</f>
        <v>Laptop</v>
      </c>
      <c r="C1049" t="str">
        <f>IF(TRIM(Raw_Data!C1049)="","South",TRIM(Raw_Data!C1049))</f>
        <v>South</v>
      </c>
      <c r="D1049">
        <f>IF(TRIM(Raw_Data!D1049)="",30435.80739,Raw_Data!D1049)</f>
        <v>11599.07</v>
      </c>
      <c r="E1049" t="str">
        <f>TEXT(Raw_Data!E1049,"DD-MM-YYYY")</f>
        <v>26-11-2024</v>
      </c>
    </row>
    <row r="1050" spans="1:5" x14ac:dyDescent="0.3">
      <c r="A1050">
        <v>2048</v>
      </c>
      <c r="B1050" t="str">
        <f>IF(TRIM(Raw_Data!B1050)="","Unknown",PROPER(TRIM(Raw_Data!B1050)))</f>
        <v>Laptop</v>
      </c>
      <c r="C1050" t="str">
        <f>IF(TRIM(Raw_Data!C1050)="","South",TRIM(Raw_Data!C1050))</f>
        <v>East</v>
      </c>
      <c r="D1050">
        <f>IF(TRIM(Raw_Data!D1050)="",30435.80739,Raw_Data!D1050)</f>
        <v>13310.46</v>
      </c>
      <c r="E1050" t="str">
        <f>TEXT(Raw_Data!E1050,"DD-MM-YYYY")</f>
        <v>28-01-2024</v>
      </c>
    </row>
    <row r="1051" spans="1:5" x14ac:dyDescent="0.3">
      <c r="A1051">
        <v>2049</v>
      </c>
      <c r="B1051" t="str">
        <f>IF(TRIM(Raw_Data!B1051)="","Unknown",PROPER(TRIM(Raw_Data!B1051)))</f>
        <v>Monitor</v>
      </c>
      <c r="C1051" t="str">
        <f>IF(TRIM(Raw_Data!C1051)="","South",TRIM(Raw_Data!C1051))</f>
        <v>North</v>
      </c>
      <c r="D1051">
        <f>IF(TRIM(Raw_Data!D1051)="",30435.80739,Raw_Data!D1051)</f>
        <v>23265.87</v>
      </c>
      <c r="E1051" t="str">
        <f>TEXT(Raw_Data!E1051,"DD-MM-YYYY")</f>
        <v>07-10-2024</v>
      </c>
    </row>
    <row r="1052" spans="1:5" x14ac:dyDescent="0.3">
      <c r="A1052">
        <v>1208</v>
      </c>
      <c r="B1052" t="str">
        <f>IF(TRIM(Raw_Data!B1052)="","Unknown",PROPER(TRIM(Raw_Data!B1052)))</f>
        <v>Keyboard</v>
      </c>
      <c r="C1052" t="str">
        <f>IF(TRIM(Raw_Data!C1052)="","South",TRIM(Raw_Data!C1052))</f>
        <v>North</v>
      </c>
      <c r="D1052">
        <f>IF(TRIM(Raw_Data!D1052)="",30435.80739,Raw_Data!D1052)</f>
        <v>49105.919999999998</v>
      </c>
      <c r="E1052" t="str">
        <f>TEXT(Raw_Data!E1052,"DD-MM-YYYY")</f>
        <v>11-09-2024</v>
      </c>
    </row>
    <row r="1053" spans="1:5" x14ac:dyDescent="0.3">
      <c r="A1053">
        <v>2051</v>
      </c>
      <c r="B1053" t="str">
        <f>IF(TRIM(Raw_Data!B1053)="","Unknown",PROPER(TRIM(Raw_Data!B1053)))</f>
        <v>Keyboard</v>
      </c>
      <c r="C1053" t="str">
        <f>IF(TRIM(Raw_Data!C1053)="","South",TRIM(Raw_Data!C1053))</f>
        <v>West</v>
      </c>
      <c r="D1053">
        <f>IF(TRIM(Raw_Data!D1053)="",30435.80739,Raw_Data!D1053)</f>
        <v>12590.04</v>
      </c>
      <c r="E1053" t="str">
        <f>TEXT(Raw_Data!E1053,"DD-MM-YYYY")</f>
        <v>15-01-2024</v>
      </c>
    </row>
    <row r="1054" spans="1:5" x14ac:dyDescent="0.3">
      <c r="A1054">
        <v>2052</v>
      </c>
      <c r="B1054" t="str">
        <f>IF(TRIM(Raw_Data!B1054)="","Unknown",PROPER(TRIM(Raw_Data!B1054)))</f>
        <v>Monitor</v>
      </c>
      <c r="C1054" t="str">
        <f>IF(TRIM(Raw_Data!C1054)="","South",TRIM(Raw_Data!C1054))</f>
        <v>South</v>
      </c>
      <c r="D1054">
        <f>IF(TRIM(Raw_Data!D1054)="",30435.80739,Raw_Data!D1054)</f>
        <v>32142.21</v>
      </c>
      <c r="E1054" t="str">
        <f>TEXT(Raw_Data!E1054,"DD-MM-YYYY")</f>
        <v>24-02-2024</v>
      </c>
    </row>
    <row r="1055" spans="1:5" x14ac:dyDescent="0.3">
      <c r="A1055">
        <v>2053</v>
      </c>
      <c r="B1055" t="str">
        <f>IF(TRIM(Raw_Data!B1055)="","Unknown",PROPER(TRIM(Raw_Data!B1055)))</f>
        <v>Mouse</v>
      </c>
      <c r="C1055" t="str">
        <f>IF(TRIM(Raw_Data!C1055)="","South",TRIM(Raw_Data!C1055))</f>
        <v>South</v>
      </c>
      <c r="D1055">
        <f>IF(TRIM(Raw_Data!D1055)="",30435.80739,Raw_Data!D1055)</f>
        <v>55500.84</v>
      </c>
      <c r="E1055" t="str">
        <f>TEXT(Raw_Data!E1055,"DD-MM-YYYY")</f>
        <v>11-06-2024</v>
      </c>
    </row>
    <row r="1056" spans="1:5" x14ac:dyDescent="0.3">
      <c r="A1056">
        <v>2054</v>
      </c>
      <c r="B1056" t="str">
        <f>IF(TRIM(Raw_Data!B1056)="","Unknown",PROPER(TRIM(Raw_Data!B1056)))</f>
        <v>Keyboard</v>
      </c>
      <c r="C1056" t="str">
        <f>IF(TRIM(Raw_Data!C1056)="","South",TRIM(Raw_Data!C1056))</f>
        <v>West</v>
      </c>
      <c r="D1056">
        <f>IF(TRIM(Raw_Data!D1056)="",30435.80739,Raw_Data!D1056)</f>
        <v>27874.6</v>
      </c>
      <c r="E1056" t="str">
        <f>TEXT(Raw_Data!E1056,"DD-MM-YYYY")</f>
        <v>23-11-2024</v>
      </c>
    </row>
    <row r="1057" spans="1:5" x14ac:dyDescent="0.3">
      <c r="A1057">
        <v>2055</v>
      </c>
      <c r="B1057" t="str">
        <f>IF(TRIM(Raw_Data!B1057)="","Unknown",PROPER(TRIM(Raw_Data!B1057)))</f>
        <v>Laptop</v>
      </c>
      <c r="C1057" t="str">
        <f>IF(TRIM(Raw_Data!C1057)="","South",TRIM(Raw_Data!C1057))</f>
        <v>North</v>
      </c>
      <c r="D1057">
        <f>IF(TRIM(Raw_Data!D1057)="",30435.80739,Raw_Data!D1057)</f>
        <v>51293.39</v>
      </c>
      <c r="E1057" t="str">
        <f>TEXT(Raw_Data!E1057,"DD-MM-YYYY")</f>
        <v>09-09-2024</v>
      </c>
    </row>
    <row r="1058" spans="1:5" x14ac:dyDescent="0.3">
      <c r="A1058">
        <v>2056</v>
      </c>
      <c r="B1058" t="str">
        <f>IF(TRIM(Raw_Data!B1058)="","Unknown",PROPER(TRIM(Raw_Data!B1058)))</f>
        <v>Mouse</v>
      </c>
      <c r="C1058" t="str">
        <f>IF(TRIM(Raw_Data!C1058)="","South",TRIM(Raw_Data!C1058))</f>
        <v>South</v>
      </c>
      <c r="D1058">
        <f>IF(TRIM(Raw_Data!D1058)="",30435.80739,Raw_Data!D1058)</f>
        <v>13001.37</v>
      </c>
      <c r="E1058" t="str">
        <f>TEXT(Raw_Data!E1058,"DD-MM-YYYY")</f>
        <v>10-10-2024</v>
      </c>
    </row>
    <row r="1059" spans="1:5" x14ac:dyDescent="0.3">
      <c r="A1059">
        <v>2057</v>
      </c>
      <c r="B1059" t="str">
        <f>IF(TRIM(Raw_Data!B1059)="","Unknown",PROPER(TRIM(Raw_Data!B1059)))</f>
        <v>Mouse</v>
      </c>
      <c r="C1059" t="str">
        <f>IF(TRIM(Raw_Data!C1059)="","South",TRIM(Raw_Data!C1059))</f>
        <v>South</v>
      </c>
      <c r="D1059">
        <f>IF(TRIM(Raw_Data!D1059)="",30435.80739,Raw_Data!D1059)</f>
        <v>59194.65</v>
      </c>
      <c r="E1059" t="str">
        <f>TEXT(Raw_Data!E1059,"DD-MM-YYYY")</f>
        <v>28-11-2024</v>
      </c>
    </row>
    <row r="1060" spans="1:5" x14ac:dyDescent="0.3">
      <c r="A1060">
        <v>2058</v>
      </c>
      <c r="B1060" t="str">
        <f>IF(TRIM(Raw_Data!B1060)="","Unknown",PROPER(TRIM(Raw_Data!B1060)))</f>
        <v>Mouse</v>
      </c>
      <c r="C1060" t="str">
        <f>IF(TRIM(Raw_Data!C1060)="","South",TRIM(Raw_Data!C1060))</f>
        <v>West</v>
      </c>
      <c r="D1060">
        <f>IF(TRIM(Raw_Data!D1060)="",30435.80739,Raw_Data!D1060)</f>
        <v>15114.17</v>
      </c>
      <c r="E1060" t="str">
        <f>TEXT(Raw_Data!E1060,"DD-MM-YYYY")</f>
        <v>18-08-2024</v>
      </c>
    </row>
    <row r="1061" spans="1:5" x14ac:dyDescent="0.3">
      <c r="A1061">
        <v>2059</v>
      </c>
      <c r="B1061" t="str">
        <f>IF(TRIM(Raw_Data!B1061)="","Unknown",PROPER(TRIM(Raw_Data!B1061)))</f>
        <v>Laptop</v>
      </c>
      <c r="C1061" t="str">
        <f>IF(TRIM(Raw_Data!C1061)="","South",TRIM(Raw_Data!C1061))</f>
        <v>West</v>
      </c>
      <c r="D1061">
        <f>IF(TRIM(Raw_Data!D1061)="",30435.80739,Raw_Data!D1061)</f>
        <v>15956.13</v>
      </c>
      <c r="E1061" t="str">
        <f>TEXT(Raw_Data!E1061,"DD-MM-YYYY")</f>
        <v>18-12-2024</v>
      </c>
    </row>
    <row r="1062" spans="1:5" x14ac:dyDescent="0.3">
      <c r="A1062">
        <v>2060</v>
      </c>
      <c r="B1062" t="str">
        <f>IF(TRIM(Raw_Data!B1062)="","Unknown",PROPER(TRIM(Raw_Data!B1062)))</f>
        <v>Laptop</v>
      </c>
      <c r="C1062" t="str">
        <f>IF(TRIM(Raw_Data!C1062)="","South",TRIM(Raw_Data!C1062))</f>
        <v>West</v>
      </c>
      <c r="D1062">
        <f>IF(TRIM(Raw_Data!D1062)="",30435.80739,Raw_Data!D1062)</f>
        <v>33847.21</v>
      </c>
      <c r="E1062" t="str">
        <f>TEXT(Raw_Data!E1062,"DD-MM-YYYY")</f>
        <v>15-12-2024</v>
      </c>
    </row>
    <row r="1063" spans="1:5" x14ac:dyDescent="0.3">
      <c r="A1063">
        <v>2061</v>
      </c>
      <c r="B1063" t="str">
        <f>IF(TRIM(Raw_Data!B1063)="","Unknown",PROPER(TRIM(Raw_Data!B1063)))</f>
        <v>Tablet</v>
      </c>
      <c r="C1063" t="str">
        <f>IF(TRIM(Raw_Data!C1063)="","South",TRIM(Raw_Data!C1063))</f>
        <v>West</v>
      </c>
      <c r="D1063">
        <f>IF(TRIM(Raw_Data!D1063)="",30435.80739,Raw_Data!D1063)</f>
        <v>49003.33</v>
      </c>
      <c r="E1063" t="str">
        <f>TEXT(Raw_Data!E1063,"DD-MM-YYYY")</f>
        <v>14-06-2024</v>
      </c>
    </row>
    <row r="1064" spans="1:5" x14ac:dyDescent="0.3">
      <c r="A1064">
        <v>2062</v>
      </c>
      <c r="B1064" t="str">
        <f>IF(TRIM(Raw_Data!B1064)="","Unknown",PROPER(TRIM(Raw_Data!B1064)))</f>
        <v>Mouse</v>
      </c>
      <c r="C1064" t="str">
        <f>IF(TRIM(Raw_Data!C1064)="","South",TRIM(Raw_Data!C1064))</f>
        <v>South</v>
      </c>
      <c r="D1064">
        <f>IF(TRIM(Raw_Data!D1064)="",30435.80739,Raw_Data!D1064)</f>
        <v>25257.79</v>
      </c>
      <c r="E1064" t="str">
        <f>TEXT(Raw_Data!E1064,"DD-MM-YYYY")</f>
        <v>17-10-2024</v>
      </c>
    </row>
    <row r="1065" spans="1:5" x14ac:dyDescent="0.3">
      <c r="A1065">
        <v>2063</v>
      </c>
      <c r="B1065" t="str">
        <f>IF(TRIM(Raw_Data!B1065)="","Unknown",PROPER(TRIM(Raw_Data!B1065)))</f>
        <v>Keyboard</v>
      </c>
      <c r="C1065" t="str">
        <f>IF(TRIM(Raw_Data!C1065)="","South",TRIM(Raw_Data!C1065))</f>
        <v>East</v>
      </c>
      <c r="D1065">
        <f>IF(TRIM(Raw_Data!D1065)="",30435.80739,Raw_Data!D1065)</f>
        <v>30146.69</v>
      </c>
      <c r="E1065" t="str">
        <f>TEXT(Raw_Data!E1065,"DD-MM-YYYY")</f>
        <v>27-10-2024</v>
      </c>
    </row>
    <row r="1066" spans="1:5" x14ac:dyDescent="0.3">
      <c r="A1066">
        <v>2064</v>
      </c>
      <c r="B1066" t="str">
        <f>IF(TRIM(Raw_Data!B1066)="","Unknown",PROPER(TRIM(Raw_Data!B1066)))</f>
        <v>Tablet</v>
      </c>
      <c r="C1066" t="str">
        <f>IF(TRIM(Raw_Data!C1066)="","South",TRIM(Raw_Data!C1066))</f>
        <v>South</v>
      </c>
      <c r="D1066">
        <f>IF(TRIM(Raw_Data!D1066)="",30435.80739,Raw_Data!D1066)</f>
        <v>30243.58</v>
      </c>
      <c r="E1066" t="str">
        <f>TEXT(Raw_Data!E1066,"DD-MM-YYYY")</f>
        <v>12-07-2024</v>
      </c>
    </row>
    <row r="1067" spans="1:5" x14ac:dyDescent="0.3">
      <c r="A1067">
        <v>2065</v>
      </c>
      <c r="B1067" t="str">
        <f>IF(TRIM(Raw_Data!B1067)="","Unknown",PROPER(TRIM(Raw_Data!B1067)))</f>
        <v>Keyboard</v>
      </c>
      <c r="C1067" t="str">
        <f>IF(TRIM(Raw_Data!C1067)="","South",TRIM(Raw_Data!C1067))</f>
        <v>South</v>
      </c>
      <c r="D1067">
        <f>IF(TRIM(Raw_Data!D1067)="",30435.80739,Raw_Data!D1067)</f>
        <v>1856.39</v>
      </c>
      <c r="E1067" t="str">
        <f>TEXT(Raw_Data!E1067,"DD-MM-YYYY")</f>
        <v>02-07-2024</v>
      </c>
    </row>
    <row r="1068" spans="1:5" x14ac:dyDescent="0.3">
      <c r="A1068">
        <v>2066</v>
      </c>
      <c r="B1068" t="str">
        <f>IF(TRIM(Raw_Data!B1068)="","Unknown",PROPER(TRIM(Raw_Data!B1068)))</f>
        <v>Mouse</v>
      </c>
      <c r="C1068" t="str">
        <f>IF(TRIM(Raw_Data!C1068)="","South",TRIM(Raw_Data!C1068))</f>
        <v>South</v>
      </c>
      <c r="D1068">
        <f>IF(TRIM(Raw_Data!D1068)="",30435.80739,Raw_Data!D1068)</f>
        <v>1498.64</v>
      </c>
      <c r="E1068" t="str">
        <f>TEXT(Raw_Data!E1068,"DD-MM-YYYY")</f>
        <v>20-09-2024</v>
      </c>
    </row>
    <row r="1069" spans="1:5" x14ac:dyDescent="0.3">
      <c r="A1069">
        <v>2067</v>
      </c>
      <c r="B1069" t="str">
        <f>IF(TRIM(Raw_Data!B1069)="","Unknown",PROPER(TRIM(Raw_Data!B1069)))</f>
        <v>Laptop</v>
      </c>
      <c r="C1069" t="str">
        <f>IF(TRIM(Raw_Data!C1069)="","South",TRIM(Raw_Data!C1069))</f>
        <v>East</v>
      </c>
      <c r="D1069">
        <f>IF(TRIM(Raw_Data!D1069)="",30435.80739,Raw_Data!D1069)</f>
        <v>30435.807390000002</v>
      </c>
      <c r="E1069" t="str">
        <f>TEXT(Raw_Data!E1069,"DD-MM-YYYY")</f>
        <v>04-01-2024</v>
      </c>
    </row>
    <row r="1070" spans="1:5" x14ac:dyDescent="0.3">
      <c r="A1070">
        <v>2068</v>
      </c>
      <c r="B1070" t="str">
        <f>IF(TRIM(Raw_Data!B1070)="","Unknown",PROPER(TRIM(Raw_Data!B1070)))</f>
        <v>Keyboard</v>
      </c>
      <c r="C1070" t="str">
        <f>IF(TRIM(Raw_Data!C1070)="","South",TRIM(Raw_Data!C1070))</f>
        <v>East</v>
      </c>
      <c r="D1070">
        <f>IF(TRIM(Raw_Data!D1070)="",30435.80739,Raw_Data!D1070)</f>
        <v>30155.3</v>
      </c>
      <c r="E1070" t="str">
        <f>TEXT(Raw_Data!E1070,"DD-MM-YYYY")</f>
        <v>25-07-2024</v>
      </c>
    </row>
    <row r="1071" spans="1:5" x14ac:dyDescent="0.3">
      <c r="A1071">
        <v>2069</v>
      </c>
      <c r="B1071" t="str">
        <f>IF(TRIM(Raw_Data!B1071)="","Unknown",PROPER(TRIM(Raw_Data!B1071)))</f>
        <v>Monitor</v>
      </c>
      <c r="C1071" t="str">
        <f>IF(TRIM(Raw_Data!C1071)="","South",TRIM(Raw_Data!C1071))</f>
        <v>South</v>
      </c>
      <c r="D1071">
        <f>IF(TRIM(Raw_Data!D1071)="",30435.80739,Raw_Data!D1071)</f>
        <v>27050.51</v>
      </c>
      <c r="E1071" t="str">
        <f>TEXT(Raw_Data!E1071,"DD-MM-YYYY")</f>
        <v>04-02-2024</v>
      </c>
    </row>
    <row r="1072" spans="1:5" x14ac:dyDescent="0.3">
      <c r="A1072">
        <v>2070</v>
      </c>
      <c r="B1072" t="str">
        <f>IF(TRIM(Raw_Data!B1072)="","Unknown",PROPER(TRIM(Raw_Data!B1072)))</f>
        <v>Laptop</v>
      </c>
      <c r="C1072" t="str">
        <f>IF(TRIM(Raw_Data!C1072)="","South",TRIM(Raw_Data!C1072))</f>
        <v>East</v>
      </c>
      <c r="D1072">
        <f>IF(TRIM(Raw_Data!D1072)="",30435.80739,Raw_Data!D1072)</f>
        <v>14047.71</v>
      </c>
      <c r="E1072" t="str">
        <f>TEXT(Raw_Data!E1072,"DD-MM-YYYY")</f>
        <v>24-02-2024</v>
      </c>
    </row>
    <row r="1073" spans="1:5" x14ac:dyDescent="0.3">
      <c r="A1073">
        <v>2071</v>
      </c>
      <c r="B1073" t="str">
        <f>IF(TRIM(Raw_Data!B1073)="","Unknown",PROPER(TRIM(Raw_Data!B1073)))</f>
        <v>Mouse</v>
      </c>
      <c r="C1073" t="str">
        <f>IF(TRIM(Raw_Data!C1073)="","South",TRIM(Raw_Data!C1073))</f>
        <v>West</v>
      </c>
      <c r="D1073">
        <f>IF(TRIM(Raw_Data!D1073)="",30435.80739,Raw_Data!D1073)</f>
        <v>6166.96</v>
      </c>
      <c r="E1073" t="str">
        <f>TEXT(Raw_Data!E1073,"DD-MM-YYYY")</f>
        <v>22-08-2024</v>
      </c>
    </row>
    <row r="1074" spans="1:5" x14ac:dyDescent="0.3">
      <c r="A1074">
        <v>2072</v>
      </c>
      <c r="B1074" t="str">
        <f>IF(TRIM(Raw_Data!B1074)="","Unknown",PROPER(TRIM(Raw_Data!B1074)))</f>
        <v>Monitor</v>
      </c>
      <c r="C1074" t="str">
        <f>IF(TRIM(Raw_Data!C1074)="","South",TRIM(Raw_Data!C1074))</f>
        <v>East</v>
      </c>
      <c r="D1074">
        <f>IF(TRIM(Raw_Data!D1074)="",30435.80739,Raw_Data!D1074)</f>
        <v>27359.42</v>
      </c>
      <c r="E1074" t="str">
        <f>TEXT(Raw_Data!E1074,"DD-MM-YYYY")</f>
        <v>22-08-2024</v>
      </c>
    </row>
    <row r="1075" spans="1:5" x14ac:dyDescent="0.3">
      <c r="A1075">
        <v>2073</v>
      </c>
      <c r="B1075" t="str">
        <f>IF(TRIM(Raw_Data!B1075)="","Unknown",PROPER(TRIM(Raw_Data!B1075)))</f>
        <v>Keyboard</v>
      </c>
      <c r="C1075" t="str">
        <f>IF(TRIM(Raw_Data!C1075)="","South",TRIM(Raw_Data!C1075))</f>
        <v>South</v>
      </c>
      <c r="D1075">
        <f>IF(TRIM(Raw_Data!D1075)="",30435.80739,Raw_Data!D1075)</f>
        <v>19532.48</v>
      </c>
      <c r="E1075" t="str">
        <f>TEXT(Raw_Data!E1075,"DD-MM-YYYY")</f>
        <v>07-03-2024</v>
      </c>
    </row>
    <row r="1076" spans="1:5" x14ac:dyDescent="0.3">
      <c r="A1076">
        <v>2074</v>
      </c>
      <c r="B1076" t="str">
        <f>IF(TRIM(Raw_Data!B1076)="","Unknown",PROPER(TRIM(Raw_Data!B1076)))</f>
        <v>Monitor</v>
      </c>
      <c r="C1076" t="str">
        <f>IF(TRIM(Raw_Data!C1076)="","South",TRIM(Raw_Data!C1076))</f>
        <v>East</v>
      </c>
      <c r="D1076">
        <f>IF(TRIM(Raw_Data!D1076)="",30435.80739,Raw_Data!D1076)</f>
        <v>36206.660000000003</v>
      </c>
      <c r="E1076" t="str">
        <f>TEXT(Raw_Data!E1076,"DD-MM-YYYY")</f>
        <v>19-03-2024</v>
      </c>
    </row>
    <row r="1077" spans="1:5" x14ac:dyDescent="0.3">
      <c r="A1077">
        <v>2075</v>
      </c>
      <c r="B1077" t="str">
        <f>IF(TRIM(Raw_Data!B1077)="","Unknown",PROPER(TRIM(Raw_Data!B1077)))</f>
        <v>Mouse</v>
      </c>
      <c r="C1077" t="str">
        <f>IF(TRIM(Raw_Data!C1077)="","South",TRIM(Raw_Data!C1077))</f>
        <v>West</v>
      </c>
      <c r="D1077">
        <f>IF(TRIM(Raw_Data!D1077)="",30435.80739,Raw_Data!D1077)</f>
        <v>29046.18</v>
      </c>
      <c r="E1077" t="str">
        <f>TEXT(Raw_Data!E1077,"DD-MM-YYYY")</f>
        <v>30-05-2024</v>
      </c>
    </row>
    <row r="1078" spans="1:5" x14ac:dyDescent="0.3">
      <c r="A1078">
        <v>2076</v>
      </c>
      <c r="B1078" t="str">
        <f>IF(TRIM(Raw_Data!B1078)="","Unknown",PROPER(TRIM(Raw_Data!B1078)))</f>
        <v>Mouse</v>
      </c>
      <c r="C1078" t="str">
        <f>IF(TRIM(Raw_Data!C1078)="","South",TRIM(Raw_Data!C1078))</f>
        <v>East</v>
      </c>
      <c r="D1078">
        <f>IF(TRIM(Raw_Data!D1078)="",30435.80739,Raw_Data!D1078)</f>
        <v>59521.68</v>
      </c>
      <c r="E1078" t="str">
        <f>TEXT(Raw_Data!E1078,"DD-MM-YYYY")</f>
        <v>06-11-2024</v>
      </c>
    </row>
    <row r="1079" spans="1:5" x14ac:dyDescent="0.3">
      <c r="A1079">
        <v>2077</v>
      </c>
      <c r="B1079" t="str">
        <f>IF(TRIM(Raw_Data!B1079)="","Unknown",PROPER(TRIM(Raw_Data!B1079)))</f>
        <v>Laptop</v>
      </c>
      <c r="C1079" t="str">
        <f>IF(TRIM(Raw_Data!C1079)="","South",TRIM(Raw_Data!C1079))</f>
        <v>South</v>
      </c>
      <c r="D1079">
        <f>IF(TRIM(Raw_Data!D1079)="",30435.80739,Raw_Data!D1079)</f>
        <v>49760.77</v>
      </c>
      <c r="E1079" t="str">
        <f>TEXT(Raw_Data!E1079,"DD-MM-YYYY")</f>
        <v>26-07-2024</v>
      </c>
    </row>
    <row r="1080" spans="1:5" x14ac:dyDescent="0.3">
      <c r="A1080">
        <v>2078</v>
      </c>
      <c r="B1080" t="str">
        <f>IF(TRIM(Raw_Data!B1080)="","Unknown",PROPER(TRIM(Raw_Data!B1080)))</f>
        <v>Unknown</v>
      </c>
      <c r="C1080" t="str">
        <f>IF(TRIM(Raw_Data!C1080)="","South",TRIM(Raw_Data!C1080))</f>
        <v>East</v>
      </c>
      <c r="D1080">
        <f>IF(TRIM(Raw_Data!D1080)="",30435.80739,Raw_Data!D1080)</f>
        <v>8609.76</v>
      </c>
      <c r="E1080" t="str">
        <f>TEXT(Raw_Data!E1080,"DD-MM-YYYY")</f>
        <v>19-11-2024</v>
      </c>
    </row>
    <row r="1081" spans="1:5" x14ac:dyDescent="0.3">
      <c r="A1081">
        <v>2079</v>
      </c>
      <c r="B1081" t="str">
        <f>IF(TRIM(Raw_Data!B1081)="","Unknown",PROPER(TRIM(Raw_Data!B1081)))</f>
        <v>Keyboard</v>
      </c>
      <c r="C1081" t="str">
        <f>IF(TRIM(Raw_Data!C1081)="","South",TRIM(Raw_Data!C1081))</f>
        <v>East</v>
      </c>
      <c r="D1081">
        <f>IF(TRIM(Raw_Data!D1081)="",30435.80739,Raw_Data!D1081)</f>
        <v>14806.31</v>
      </c>
      <c r="E1081" t="str">
        <f>TEXT(Raw_Data!E1081,"DD-MM-YYYY")</f>
        <v>09-08-2024</v>
      </c>
    </row>
    <row r="1082" spans="1:5" x14ac:dyDescent="0.3">
      <c r="A1082">
        <v>2080</v>
      </c>
      <c r="B1082" t="str">
        <f>IF(TRIM(Raw_Data!B1082)="","Unknown",PROPER(TRIM(Raw_Data!B1082)))</f>
        <v>Mouse</v>
      </c>
      <c r="C1082" t="str">
        <f>IF(TRIM(Raw_Data!C1082)="","South",TRIM(Raw_Data!C1082))</f>
        <v>South</v>
      </c>
      <c r="D1082">
        <f>IF(TRIM(Raw_Data!D1082)="",30435.80739,Raw_Data!D1082)</f>
        <v>45690.67</v>
      </c>
      <c r="E1082" t="str">
        <f>TEXT(Raw_Data!E1082,"DD-MM-YYYY")</f>
        <v>27-12-2024</v>
      </c>
    </row>
    <row r="1083" spans="1:5" x14ac:dyDescent="0.3">
      <c r="A1083">
        <v>2081</v>
      </c>
      <c r="B1083" t="str">
        <f>IF(TRIM(Raw_Data!B1083)="","Unknown",PROPER(TRIM(Raw_Data!B1083)))</f>
        <v>Monitor</v>
      </c>
      <c r="C1083" t="str">
        <f>IF(TRIM(Raw_Data!C1083)="","South",TRIM(Raw_Data!C1083))</f>
        <v>South</v>
      </c>
      <c r="D1083">
        <f>IF(TRIM(Raw_Data!D1083)="",30435.80739,Raw_Data!D1083)</f>
        <v>19274.02</v>
      </c>
      <c r="E1083" t="str">
        <f>TEXT(Raw_Data!E1083,"DD-MM-YYYY")</f>
        <v>15-11-2024</v>
      </c>
    </row>
    <row r="1084" spans="1:5" x14ac:dyDescent="0.3">
      <c r="A1084">
        <v>2082</v>
      </c>
      <c r="B1084" t="str">
        <f>IF(TRIM(Raw_Data!B1084)="","Unknown",PROPER(TRIM(Raw_Data!B1084)))</f>
        <v>Tablet</v>
      </c>
      <c r="C1084" t="str">
        <f>IF(TRIM(Raw_Data!C1084)="","South",TRIM(Raw_Data!C1084))</f>
        <v>South</v>
      </c>
      <c r="D1084">
        <f>IF(TRIM(Raw_Data!D1084)="",30435.80739,Raw_Data!D1084)</f>
        <v>14477.13</v>
      </c>
      <c r="E1084" t="str">
        <f>TEXT(Raw_Data!E1084,"DD-MM-YYYY")</f>
        <v>22-07-2024</v>
      </c>
    </row>
    <row r="1085" spans="1:5" x14ac:dyDescent="0.3">
      <c r="A1085">
        <v>2083</v>
      </c>
      <c r="B1085" t="str">
        <f>IF(TRIM(Raw_Data!B1085)="","Unknown",PROPER(TRIM(Raw_Data!B1085)))</f>
        <v>Mouse</v>
      </c>
      <c r="C1085" t="str">
        <f>IF(TRIM(Raw_Data!C1085)="","South",TRIM(Raw_Data!C1085))</f>
        <v>West</v>
      </c>
      <c r="D1085">
        <f>IF(TRIM(Raw_Data!D1085)="",30435.80739,Raw_Data!D1085)</f>
        <v>42613.09</v>
      </c>
      <c r="E1085" t="str">
        <f>TEXT(Raw_Data!E1085,"DD-MM-YYYY")</f>
        <v>01-06-2024</v>
      </c>
    </row>
    <row r="1086" spans="1:5" x14ac:dyDescent="0.3">
      <c r="A1086">
        <v>2084</v>
      </c>
      <c r="B1086" t="str">
        <f>IF(TRIM(Raw_Data!B1086)="","Unknown",PROPER(TRIM(Raw_Data!B1086)))</f>
        <v>Mouse</v>
      </c>
      <c r="C1086" t="str">
        <f>IF(TRIM(Raw_Data!C1086)="","South",TRIM(Raw_Data!C1086))</f>
        <v>East</v>
      </c>
      <c r="D1086">
        <f>IF(TRIM(Raw_Data!D1086)="",30435.80739,Raw_Data!D1086)</f>
        <v>45635.78</v>
      </c>
      <c r="E1086" t="str">
        <f>TEXT(Raw_Data!E1086,"DD-MM-YYYY")</f>
        <v>02-01-2024</v>
      </c>
    </row>
    <row r="1087" spans="1:5" x14ac:dyDescent="0.3">
      <c r="A1087">
        <v>2085</v>
      </c>
      <c r="B1087" t="str">
        <f>IF(TRIM(Raw_Data!B1087)="","Unknown",PROPER(TRIM(Raw_Data!B1087)))</f>
        <v>Mouse</v>
      </c>
      <c r="C1087" t="str">
        <f>IF(TRIM(Raw_Data!C1087)="","South",TRIM(Raw_Data!C1087))</f>
        <v>South</v>
      </c>
      <c r="D1087">
        <f>IF(TRIM(Raw_Data!D1087)="",30435.80739,Raw_Data!D1087)</f>
        <v>40947.35</v>
      </c>
      <c r="E1087" t="str">
        <f>TEXT(Raw_Data!E1087,"DD-MM-YYYY")</f>
        <v>18-07-2024</v>
      </c>
    </row>
    <row r="1088" spans="1:5" x14ac:dyDescent="0.3">
      <c r="A1088">
        <v>2086</v>
      </c>
      <c r="B1088" t="str">
        <f>IF(TRIM(Raw_Data!B1088)="","Unknown",PROPER(TRIM(Raw_Data!B1088)))</f>
        <v>Laptop</v>
      </c>
      <c r="C1088" t="str">
        <f>IF(TRIM(Raw_Data!C1088)="","South",TRIM(Raw_Data!C1088))</f>
        <v>West</v>
      </c>
      <c r="D1088">
        <f>IF(TRIM(Raw_Data!D1088)="",30435.80739,Raw_Data!D1088)</f>
        <v>48279.77</v>
      </c>
      <c r="E1088" t="str">
        <f>TEXT(Raw_Data!E1088,"DD-MM-YYYY")</f>
        <v>29-01-2024</v>
      </c>
    </row>
    <row r="1089" spans="1:5" x14ac:dyDescent="0.3">
      <c r="A1089">
        <v>2087</v>
      </c>
      <c r="B1089" t="str">
        <f>IF(TRIM(Raw_Data!B1089)="","Unknown",PROPER(TRIM(Raw_Data!B1089)))</f>
        <v>Unknown</v>
      </c>
      <c r="C1089" t="str">
        <f>IF(TRIM(Raw_Data!C1089)="","South",TRIM(Raw_Data!C1089))</f>
        <v>East</v>
      </c>
      <c r="D1089">
        <f>IF(TRIM(Raw_Data!D1089)="",30435.80739,Raw_Data!D1089)</f>
        <v>4509.33</v>
      </c>
      <c r="E1089" t="str">
        <f>TEXT(Raw_Data!E1089,"DD-MM-YYYY")</f>
        <v>29-12-2024</v>
      </c>
    </row>
    <row r="1090" spans="1:5" x14ac:dyDescent="0.3">
      <c r="A1090">
        <v>2088</v>
      </c>
      <c r="B1090" t="str">
        <f>IF(TRIM(Raw_Data!B1090)="","Unknown",PROPER(TRIM(Raw_Data!B1090)))</f>
        <v>Tablet</v>
      </c>
      <c r="C1090" t="str">
        <f>IF(TRIM(Raw_Data!C1090)="","South",TRIM(Raw_Data!C1090))</f>
        <v>South</v>
      </c>
      <c r="D1090">
        <f>IF(TRIM(Raw_Data!D1090)="",30435.80739,Raw_Data!D1090)</f>
        <v>51451.46</v>
      </c>
      <c r="E1090" t="str">
        <f>TEXT(Raw_Data!E1090,"DD-MM-YYYY")</f>
        <v>10-01-2024</v>
      </c>
    </row>
    <row r="1091" spans="1:5" x14ac:dyDescent="0.3">
      <c r="A1091">
        <v>2089</v>
      </c>
      <c r="B1091" t="str">
        <f>IF(TRIM(Raw_Data!B1091)="","Unknown",PROPER(TRIM(Raw_Data!B1091)))</f>
        <v>Mouse</v>
      </c>
      <c r="C1091" t="str">
        <f>IF(TRIM(Raw_Data!C1091)="","South",TRIM(Raw_Data!C1091))</f>
        <v>West</v>
      </c>
      <c r="D1091">
        <f>IF(TRIM(Raw_Data!D1091)="",30435.80739,Raw_Data!D1091)</f>
        <v>44903.47</v>
      </c>
      <c r="E1091" t="str">
        <f>TEXT(Raw_Data!E1091,"DD-MM-YYYY")</f>
        <v>16-08-2024</v>
      </c>
    </row>
    <row r="1092" spans="1:5" x14ac:dyDescent="0.3">
      <c r="A1092">
        <v>2090</v>
      </c>
      <c r="B1092" t="str">
        <f>IF(TRIM(Raw_Data!B1092)="","Unknown",PROPER(TRIM(Raw_Data!B1092)))</f>
        <v>Keyboard</v>
      </c>
      <c r="C1092" t="str">
        <f>IF(TRIM(Raw_Data!C1092)="","South",TRIM(Raw_Data!C1092))</f>
        <v>West</v>
      </c>
      <c r="D1092">
        <f>IF(TRIM(Raw_Data!D1092)="",30435.80739,Raw_Data!D1092)</f>
        <v>57655.72</v>
      </c>
      <c r="E1092" t="str">
        <f>TEXT(Raw_Data!E1092,"DD-MM-YYYY")</f>
        <v>12-01-2024</v>
      </c>
    </row>
    <row r="1093" spans="1:5" x14ac:dyDescent="0.3">
      <c r="A1093">
        <v>2091</v>
      </c>
      <c r="B1093" t="str">
        <f>IF(TRIM(Raw_Data!B1093)="","Unknown",PROPER(TRIM(Raw_Data!B1093)))</f>
        <v>Tablet</v>
      </c>
      <c r="C1093" t="str">
        <f>IF(TRIM(Raw_Data!C1093)="","South",TRIM(Raw_Data!C1093))</f>
        <v>South</v>
      </c>
      <c r="D1093">
        <f>IF(TRIM(Raw_Data!D1093)="",30435.80739,Raw_Data!D1093)</f>
        <v>51744.34</v>
      </c>
      <c r="E1093" t="str">
        <f>TEXT(Raw_Data!E1093,"DD-MM-YYYY")</f>
        <v>19-11-2024</v>
      </c>
    </row>
    <row r="1094" spans="1:5" x14ac:dyDescent="0.3">
      <c r="A1094">
        <v>2092</v>
      </c>
      <c r="B1094" t="str">
        <f>IF(TRIM(Raw_Data!B1094)="","Unknown",PROPER(TRIM(Raw_Data!B1094)))</f>
        <v>Mouse</v>
      </c>
      <c r="C1094" t="str">
        <f>IF(TRIM(Raw_Data!C1094)="","South",TRIM(Raw_Data!C1094))</f>
        <v>East</v>
      </c>
      <c r="D1094">
        <f>IF(TRIM(Raw_Data!D1094)="",30435.80739,Raw_Data!D1094)</f>
        <v>30435.807390000002</v>
      </c>
      <c r="E1094" t="str">
        <f>TEXT(Raw_Data!E1094,"DD-MM-YYYY")</f>
        <v>19-09-2024</v>
      </c>
    </row>
    <row r="1095" spans="1:5" x14ac:dyDescent="0.3">
      <c r="A1095">
        <v>2093</v>
      </c>
      <c r="B1095" t="str">
        <f>IF(TRIM(Raw_Data!B1095)="","Unknown",PROPER(TRIM(Raw_Data!B1095)))</f>
        <v>Mouse</v>
      </c>
      <c r="C1095" t="str">
        <f>IF(TRIM(Raw_Data!C1095)="","South",TRIM(Raw_Data!C1095))</f>
        <v>North</v>
      </c>
      <c r="D1095">
        <f>IF(TRIM(Raw_Data!D1095)="",30435.80739,Raw_Data!D1095)</f>
        <v>41466.699999999997</v>
      </c>
      <c r="E1095" t="str">
        <f>TEXT(Raw_Data!E1095,"DD-MM-YYYY")</f>
        <v>27-03-2024</v>
      </c>
    </row>
    <row r="1096" spans="1:5" x14ac:dyDescent="0.3">
      <c r="A1096">
        <v>2094</v>
      </c>
      <c r="B1096" t="str">
        <f>IF(TRIM(Raw_Data!B1096)="","Unknown",PROPER(TRIM(Raw_Data!B1096)))</f>
        <v>Monitor</v>
      </c>
      <c r="C1096" t="str">
        <f>IF(TRIM(Raw_Data!C1096)="","South",TRIM(Raw_Data!C1096))</f>
        <v>North</v>
      </c>
      <c r="D1096">
        <f>IF(TRIM(Raw_Data!D1096)="",30435.80739,Raw_Data!D1096)</f>
        <v>57135.12</v>
      </c>
      <c r="E1096" t="str">
        <f>TEXT(Raw_Data!E1096,"DD-MM-YYYY")</f>
        <v>17-01-2024</v>
      </c>
    </row>
    <row r="1097" spans="1:5" x14ac:dyDescent="0.3">
      <c r="A1097">
        <v>2095</v>
      </c>
      <c r="B1097" t="str">
        <f>IF(TRIM(Raw_Data!B1097)="","Unknown",PROPER(TRIM(Raw_Data!B1097)))</f>
        <v>Laptop</v>
      </c>
      <c r="C1097" t="str">
        <f>IF(TRIM(Raw_Data!C1097)="","South",TRIM(Raw_Data!C1097))</f>
        <v>East</v>
      </c>
      <c r="D1097">
        <f>IF(TRIM(Raw_Data!D1097)="",30435.80739,Raw_Data!D1097)</f>
        <v>51172.24</v>
      </c>
      <c r="E1097" t="str">
        <f>TEXT(Raw_Data!E1097,"DD-MM-YYYY")</f>
        <v>01-12-2024</v>
      </c>
    </row>
    <row r="1098" spans="1:5" x14ac:dyDescent="0.3">
      <c r="A1098">
        <v>2096</v>
      </c>
      <c r="B1098" t="str">
        <f>IF(TRIM(Raw_Data!B1098)="","Unknown",PROPER(TRIM(Raw_Data!B1098)))</f>
        <v>Mouse</v>
      </c>
      <c r="C1098" t="str">
        <f>IF(TRIM(Raw_Data!C1098)="","South",TRIM(Raw_Data!C1098))</f>
        <v>North</v>
      </c>
      <c r="D1098">
        <f>IF(TRIM(Raw_Data!D1098)="",30435.80739,Raw_Data!D1098)</f>
        <v>54413.99</v>
      </c>
      <c r="E1098" t="str">
        <f>TEXT(Raw_Data!E1098,"DD-MM-YYYY")</f>
        <v>03-11-2024</v>
      </c>
    </row>
    <row r="1099" spans="1:5" x14ac:dyDescent="0.3">
      <c r="A1099">
        <v>2097</v>
      </c>
      <c r="B1099" t="str">
        <f>IF(TRIM(Raw_Data!B1099)="","Unknown",PROPER(TRIM(Raw_Data!B1099)))</f>
        <v>Laptop</v>
      </c>
      <c r="C1099" t="str">
        <f>IF(TRIM(Raw_Data!C1099)="","South",TRIM(Raw_Data!C1099))</f>
        <v>North</v>
      </c>
      <c r="D1099">
        <f>IF(TRIM(Raw_Data!D1099)="",30435.80739,Raw_Data!D1099)</f>
        <v>23783.200000000001</v>
      </c>
      <c r="E1099" t="str">
        <f>TEXT(Raw_Data!E1099,"DD-MM-YYYY")</f>
        <v>22-08-2024</v>
      </c>
    </row>
    <row r="1100" spans="1:5" x14ac:dyDescent="0.3">
      <c r="A1100">
        <v>2098</v>
      </c>
      <c r="B1100" t="str">
        <f>IF(TRIM(Raw_Data!B1100)="","Unknown",PROPER(TRIM(Raw_Data!B1100)))</f>
        <v>Mouse</v>
      </c>
      <c r="C1100" t="str">
        <f>IF(TRIM(Raw_Data!C1100)="","South",TRIM(Raw_Data!C1100))</f>
        <v>North</v>
      </c>
      <c r="D1100">
        <f>IF(TRIM(Raw_Data!D1100)="",30435.80739,Raw_Data!D1100)</f>
        <v>30477.49</v>
      </c>
      <c r="E1100" t="str">
        <f>TEXT(Raw_Data!E1100,"DD-MM-YYYY")</f>
        <v>16-01-2024</v>
      </c>
    </row>
    <row r="1101" spans="1:5" x14ac:dyDescent="0.3">
      <c r="A1101">
        <v>2099</v>
      </c>
      <c r="B1101" t="str">
        <f>IF(TRIM(Raw_Data!B1101)="","Unknown",PROPER(TRIM(Raw_Data!B1101)))</f>
        <v>Tablet</v>
      </c>
      <c r="C1101" t="str">
        <f>IF(TRIM(Raw_Data!C1101)="","South",TRIM(Raw_Data!C1101))</f>
        <v>North</v>
      </c>
      <c r="D1101">
        <f>IF(TRIM(Raw_Data!D1101)="",30435.80739,Raw_Data!D1101)</f>
        <v>49781.62</v>
      </c>
      <c r="E1101" t="str">
        <f>TEXT(Raw_Data!E1101,"DD-MM-YYYY")</f>
        <v>05-11-2024</v>
      </c>
    </row>
    <row r="1102" spans="1:5" x14ac:dyDescent="0.3">
      <c r="A1102">
        <v>2100</v>
      </c>
      <c r="B1102" t="str">
        <f>IF(TRIM(Raw_Data!B1102)="","Unknown",PROPER(TRIM(Raw_Data!B1102)))</f>
        <v>Mouse</v>
      </c>
      <c r="C1102" t="str">
        <f>IF(TRIM(Raw_Data!C1102)="","South",TRIM(Raw_Data!C1102))</f>
        <v>South</v>
      </c>
      <c r="D1102">
        <f>IF(TRIM(Raw_Data!D1102)="",30435.80739,Raw_Data!D1102)</f>
        <v>1014.33</v>
      </c>
      <c r="E1102" t="str">
        <f>TEXT(Raw_Data!E1102,"DD-MM-YYYY")</f>
        <v>02-05-2024</v>
      </c>
    </row>
    <row r="1103" spans="1:5" x14ac:dyDescent="0.3">
      <c r="A1103">
        <v>2101</v>
      </c>
      <c r="B1103" t="str">
        <f>IF(TRIM(Raw_Data!B1103)="","Unknown",PROPER(TRIM(Raw_Data!B1103)))</f>
        <v>Laptop</v>
      </c>
      <c r="C1103" t="str">
        <f>IF(TRIM(Raw_Data!C1103)="","South",TRIM(Raw_Data!C1103))</f>
        <v>South</v>
      </c>
      <c r="D1103">
        <f>IF(TRIM(Raw_Data!D1103)="",30435.80739,Raw_Data!D1103)</f>
        <v>23042.73</v>
      </c>
      <c r="E1103" t="str">
        <f>TEXT(Raw_Data!E1103,"DD-MM-YYYY")</f>
        <v>07-12-2024</v>
      </c>
    </row>
    <row r="1104" spans="1:5" x14ac:dyDescent="0.3">
      <c r="A1104">
        <v>2102</v>
      </c>
      <c r="B1104" t="str">
        <f>IF(TRIM(Raw_Data!B1104)="","Unknown",PROPER(TRIM(Raw_Data!B1104)))</f>
        <v>Keyboard</v>
      </c>
      <c r="C1104" t="str">
        <f>IF(TRIM(Raw_Data!C1104)="","South",TRIM(Raw_Data!C1104))</f>
        <v>North</v>
      </c>
      <c r="D1104">
        <f>IF(TRIM(Raw_Data!D1104)="",30435.80739,Raw_Data!D1104)</f>
        <v>8095.99</v>
      </c>
      <c r="E1104" t="str">
        <f>TEXT(Raw_Data!E1104,"DD-MM-YYYY")</f>
        <v>21-08-2024</v>
      </c>
    </row>
    <row r="1105" spans="1:5" x14ac:dyDescent="0.3">
      <c r="A1105">
        <v>2103</v>
      </c>
      <c r="B1105" t="str">
        <f>IF(TRIM(Raw_Data!B1105)="","Unknown",PROPER(TRIM(Raw_Data!B1105)))</f>
        <v>Tablet</v>
      </c>
      <c r="C1105" t="str">
        <f>IF(TRIM(Raw_Data!C1105)="","South",TRIM(Raw_Data!C1105))</f>
        <v>South</v>
      </c>
      <c r="D1105">
        <f>IF(TRIM(Raw_Data!D1105)="",30435.80739,Raw_Data!D1105)</f>
        <v>47094.16</v>
      </c>
      <c r="E1105" t="str">
        <f>TEXT(Raw_Data!E1105,"DD-MM-YYYY")</f>
        <v>29-03-2024</v>
      </c>
    </row>
    <row r="1106" spans="1:5" x14ac:dyDescent="0.3">
      <c r="A1106">
        <v>2104</v>
      </c>
      <c r="B1106" t="str">
        <f>IF(TRIM(Raw_Data!B1106)="","Unknown",PROPER(TRIM(Raw_Data!B1106)))</f>
        <v>Mouse</v>
      </c>
      <c r="C1106" t="str">
        <f>IF(TRIM(Raw_Data!C1106)="","South",TRIM(Raw_Data!C1106))</f>
        <v>South</v>
      </c>
      <c r="D1106">
        <f>IF(TRIM(Raw_Data!D1106)="",30435.80739,Raw_Data!D1106)</f>
        <v>42686.44</v>
      </c>
      <c r="E1106" t="str">
        <f>TEXT(Raw_Data!E1106,"DD-MM-YYYY")</f>
        <v>08-04-2024</v>
      </c>
    </row>
    <row r="1107" spans="1:5" x14ac:dyDescent="0.3">
      <c r="A1107">
        <v>2105</v>
      </c>
      <c r="B1107" t="str">
        <f>IF(TRIM(Raw_Data!B1107)="","Unknown",PROPER(TRIM(Raw_Data!B1107)))</f>
        <v>Keyboard</v>
      </c>
      <c r="C1107" t="str">
        <f>IF(TRIM(Raw_Data!C1107)="","South",TRIM(Raw_Data!C1107))</f>
        <v>South</v>
      </c>
      <c r="D1107">
        <f>IF(TRIM(Raw_Data!D1107)="",30435.80739,Raw_Data!D1107)</f>
        <v>25817.18</v>
      </c>
      <c r="E1107" t="str">
        <f>TEXT(Raw_Data!E1107,"DD-MM-YYYY")</f>
        <v>23-10-2024</v>
      </c>
    </row>
    <row r="1108" spans="1:5" x14ac:dyDescent="0.3">
      <c r="A1108">
        <v>1810</v>
      </c>
      <c r="B1108" t="str">
        <f>IF(TRIM(Raw_Data!B1108)="","Unknown",PROPER(TRIM(Raw_Data!B1108)))</f>
        <v>Monitor</v>
      </c>
      <c r="C1108" t="str">
        <f>IF(TRIM(Raw_Data!C1108)="","South",TRIM(Raw_Data!C1108))</f>
        <v>West</v>
      </c>
      <c r="D1108">
        <f>IF(TRIM(Raw_Data!D1108)="",30435.80739,Raw_Data!D1108)</f>
        <v>37541.550000000003</v>
      </c>
      <c r="E1108" t="str">
        <f>TEXT(Raw_Data!E1108,"DD-MM-YYYY")</f>
        <v>28-01-2024</v>
      </c>
    </row>
    <row r="1109" spans="1:5" x14ac:dyDescent="0.3">
      <c r="A1109">
        <v>2107</v>
      </c>
      <c r="B1109" t="str">
        <f>IF(TRIM(Raw_Data!B1109)="","Unknown",PROPER(TRIM(Raw_Data!B1109)))</f>
        <v>Laptop</v>
      </c>
      <c r="C1109" t="str">
        <f>IF(TRIM(Raw_Data!C1109)="","South",TRIM(Raw_Data!C1109))</f>
        <v>West</v>
      </c>
      <c r="D1109">
        <f>IF(TRIM(Raw_Data!D1109)="",30435.80739,Raw_Data!D1109)</f>
        <v>44100.36</v>
      </c>
      <c r="E1109" t="str">
        <f>TEXT(Raw_Data!E1109,"DD-MM-YYYY")</f>
        <v>06-12-2024</v>
      </c>
    </row>
    <row r="1110" spans="1:5" x14ac:dyDescent="0.3">
      <c r="A1110">
        <v>2108</v>
      </c>
      <c r="B1110" t="str">
        <f>IF(TRIM(Raw_Data!B1110)="","Unknown",PROPER(TRIM(Raw_Data!B1110)))</f>
        <v>Mouse</v>
      </c>
      <c r="C1110" t="str">
        <f>IF(TRIM(Raw_Data!C1110)="","South",TRIM(Raw_Data!C1110))</f>
        <v>South</v>
      </c>
      <c r="D1110">
        <f>IF(TRIM(Raw_Data!D1110)="",30435.80739,Raw_Data!D1110)</f>
        <v>21086.02</v>
      </c>
      <c r="E1110" t="str">
        <f>TEXT(Raw_Data!E1110,"DD-MM-YYYY")</f>
        <v>24-09-2024</v>
      </c>
    </row>
    <row r="1111" spans="1:5" x14ac:dyDescent="0.3">
      <c r="A1111">
        <v>2109</v>
      </c>
      <c r="B1111" t="str">
        <f>IF(TRIM(Raw_Data!B1111)="","Unknown",PROPER(TRIM(Raw_Data!B1111)))</f>
        <v>Monitor</v>
      </c>
      <c r="C1111" t="str">
        <f>IF(TRIM(Raw_Data!C1111)="","South",TRIM(Raw_Data!C1111))</f>
        <v>South</v>
      </c>
      <c r="D1111">
        <f>IF(TRIM(Raw_Data!D1111)="",30435.80739,Raw_Data!D1111)</f>
        <v>52530.1</v>
      </c>
      <c r="E1111" t="str">
        <f>TEXT(Raw_Data!E1111,"DD-MM-YYYY")</f>
        <v>29-09-2024</v>
      </c>
    </row>
    <row r="1112" spans="1:5" x14ac:dyDescent="0.3">
      <c r="A1112">
        <v>2110</v>
      </c>
      <c r="B1112" t="str">
        <f>IF(TRIM(Raw_Data!B1112)="","Unknown",PROPER(TRIM(Raw_Data!B1112)))</f>
        <v>Monitor</v>
      </c>
      <c r="C1112" t="str">
        <f>IF(TRIM(Raw_Data!C1112)="","South",TRIM(Raw_Data!C1112))</f>
        <v>North</v>
      </c>
      <c r="D1112">
        <f>IF(TRIM(Raw_Data!D1112)="",30435.80739,Raw_Data!D1112)</f>
        <v>41651</v>
      </c>
      <c r="E1112" t="str">
        <f>TEXT(Raw_Data!E1112,"DD-MM-YYYY")</f>
        <v>20-03-2024</v>
      </c>
    </row>
    <row r="1113" spans="1:5" x14ac:dyDescent="0.3">
      <c r="A1113">
        <v>2111</v>
      </c>
      <c r="B1113" t="str">
        <f>IF(TRIM(Raw_Data!B1113)="","Unknown",PROPER(TRIM(Raw_Data!B1113)))</f>
        <v>Keyboard</v>
      </c>
      <c r="C1113" t="str">
        <f>IF(TRIM(Raw_Data!C1113)="","South",TRIM(Raw_Data!C1113))</f>
        <v>North</v>
      </c>
      <c r="D1113">
        <f>IF(TRIM(Raw_Data!D1113)="",30435.80739,Raw_Data!D1113)</f>
        <v>40180.370000000003</v>
      </c>
      <c r="E1113" t="str">
        <f>TEXT(Raw_Data!E1113,"DD-MM-YYYY")</f>
        <v>01-01-2024</v>
      </c>
    </row>
    <row r="1114" spans="1:5" x14ac:dyDescent="0.3">
      <c r="A1114">
        <v>2112</v>
      </c>
      <c r="B1114" t="str">
        <f>IF(TRIM(Raw_Data!B1114)="","Unknown",PROPER(TRIM(Raw_Data!B1114)))</f>
        <v>Mouse</v>
      </c>
      <c r="C1114" t="str">
        <f>IF(TRIM(Raw_Data!C1114)="","South",TRIM(Raw_Data!C1114))</f>
        <v>North</v>
      </c>
      <c r="D1114">
        <f>IF(TRIM(Raw_Data!D1114)="",30435.80739,Raw_Data!D1114)</f>
        <v>1934.45</v>
      </c>
      <c r="E1114" t="str">
        <f>TEXT(Raw_Data!E1114,"DD-MM-YYYY")</f>
        <v>08-09-2024</v>
      </c>
    </row>
    <row r="1115" spans="1:5" x14ac:dyDescent="0.3">
      <c r="A1115">
        <v>2113</v>
      </c>
      <c r="B1115" t="str">
        <f>IF(TRIM(Raw_Data!B1115)="","Unknown",PROPER(TRIM(Raw_Data!B1115)))</f>
        <v>Laptop</v>
      </c>
      <c r="C1115" t="str">
        <f>IF(TRIM(Raw_Data!C1115)="","South",TRIM(Raw_Data!C1115))</f>
        <v>West</v>
      </c>
      <c r="D1115">
        <f>IF(TRIM(Raw_Data!D1115)="",30435.80739,Raw_Data!D1115)</f>
        <v>55795.03</v>
      </c>
      <c r="E1115" t="str">
        <f>TEXT(Raw_Data!E1115,"DD-MM-YYYY")</f>
        <v>03-02-2024</v>
      </c>
    </row>
    <row r="1116" spans="1:5" x14ac:dyDescent="0.3">
      <c r="A1116">
        <v>2114</v>
      </c>
      <c r="B1116" t="str">
        <f>IF(TRIM(Raw_Data!B1116)="","Unknown",PROPER(TRIM(Raw_Data!B1116)))</f>
        <v>Monitor</v>
      </c>
      <c r="C1116" t="str">
        <f>IF(TRIM(Raw_Data!C1116)="","South",TRIM(Raw_Data!C1116))</f>
        <v>South</v>
      </c>
      <c r="D1116">
        <f>IF(TRIM(Raw_Data!D1116)="",30435.80739,Raw_Data!D1116)</f>
        <v>8422.34</v>
      </c>
      <c r="E1116" t="str">
        <f>TEXT(Raw_Data!E1116,"DD-MM-YYYY")</f>
        <v>26-03-2024</v>
      </c>
    </row>
    <row r="1117" spans="1:5" x14ac:dyDescent="0.3">
      <c r="A1117">
        <v>2115</v>
      </c>
      <c r="B1117" t="str">
        <f>IF(TRIM(Raw_Data!B1117)="","Unknown",PROPER(TRIM(Raw_Data!B1117)))</f>
        <v>Monitor</v>
      </c>
      <c r="C1117" t="str">
        <f>IF(TRIM(Raw_Data!C1117)="","South",TRIM(Raw_Data!C1117))</f>
        <v>West</v>
      </c>
      <c r="D1117">
        <f>IF(TRIM(Raw_Data!D1117)="",30435.80739,Raw_Data!D1117)</f>
        <v>27123.13</v>
      </c>
      <c r="E1117" t="str">
        <f>TEXT(Raw_Data!E1117,"DD-MM-YYYY")</f>
        <v>04-11-2024</v>
      </c>
    </row>
    <row r="1118" spans="1:5" x14ac:dyDescent="0.3">
      <c r="A1118">
        <v>2116</v>
      </c>
      <c r="B1118" t="str">
        <f>IF(TRIM(Raw_Data!B1118)="","Unknown",PROPER(TRIM(Raw_Data!B1118)))</f>
        <v>Tablet</v>
      </c>
      <c r="C1118" t="str">
        <f>IF(TRIM(Raw_Data!C1118)="","South",TRIM(Raw_Data!C1118))</f>
        <v>East</v>
      </c>
      <c r="D1118">
        <f>IF(TRIM(Raw_Data!D1118)="",30435.80739,Raw_Data!D1118)</f>
        <v>2441.19</v>
      </c>
      <c r="E1118" t="str">
        <f>TEXT(Raw_Data!E1118,"DD-MM-YYYY")</f>
        <v>13-11-2024</v>
      </c>
    </row>
    <row r="1119" spans="1:5" x14ac:dyDescent="0.3">
      <c r="A1119">
        <v>2117</v>
      </c>
      <c r="B1119" t="str">
        <f>IF(TRIM(Raw_Data!B1119)="","Unknown",PROPER(TRIM(Raw_Data!B1119)))</f>
        <v>Monitor</v>
      </c>
      <c r="C1119" t="str">
        <f>IF(TRIM(Raw_Data!C1119)="","South",TRIM(Raw_Data!C1119))</f>
        <v>South</v>
      </c>
      <c r="D1119">
        <f>IF(TRIM(Raw_Data!D1119)="",30435.80739,Raw_Data!D1119)</f>
        <v>55366.01</v>
      </c>
      <c r="E1119" t="str">
        <f>TEXT(Raw_Data!E1119,"DD-MM-YYYY")</f>
        <v>09-08-2024</v>
      </c>
    </row>
    <row r="1120" spans="1:5" x14ac:dyDescent="0.3">
      <c r="A1120">
        <v>2118</v>
      </c>
      <c r="B1120" t="str">
        <f>IF(TRIM(Raw_Data!B1120)="","Unknown",PROPER(TRIM(Raw_Data!B1120)))</f>
        <v>Laptop</v>
      </c>
      <c r="C1120" t="str">
        <f>IF(TRIM(Raw_Data!C1120)="","South",TRIM(Raw_Data!C1120))</f>
        <v>South</v>
      </c>
      <c r="D1120">
        <f>IF(TRIM(Raw_Data!D1120)="",30435.80739,Raw_Data!D1120)</f>
        <v>58880.74</v>
      </c>
      <c r="E1120" t="str">
        <f>TEXT(Raw_Data!E1120,"DD-MM-YYYY")</f>
        <v>08-11-2024</v>
      </c>
    </row>
    <row r="1121" spans="1:5" x14ac:dyDescent="0.3">
      <c r="A1121">
        <v>2119</v>
      </c>
      <c r="B1121" t="str">
        <f>IF(TRIM(Raw_Data!B1121)="","Unknown",PROPER(TRIM(Raw_Data!B1121)))</f>
        <v>Laptop</v>
      </c>
      <c r="C1121" t="str">
        <f>IF(TRIM(Raw_Data!C1121)="","South",TRIM(Raw_Data!C1121))</f>
        <v>North</v>
      </c>
      <c r="D1121">
        <f>IF(TRIM(Raw_Data!D1121)="",30435.80739,Raw_Data!D1121)</f>
        <v>30435.807390000002</v>
      </c>
      <c r="E1121" t="str">
        <f>TEXT(Raw_Data!E1121,"DD-MM-YYYY")</f>
        <v>29-07-2024</v>
      </c>
    </row>
    <row r="1122" spans="1:5" x14ac:dyDescent="0.3">
      <c r="A1122">
        <v>2120</v>
      </c>
      <c r="B1122" t="str">
        <f>IF(TRIM(Raw_Data!B1122)="","Unknown",PROPER(TRIM(Raw_Data!B1122)))</f>
        <v>Laptop</v>
      </c>
      <c r="C1122" t="str">
        <f>IF(TRIM(Raw_Data!C1122)="","South",TRIM(Raw_Data!C1122))</f>
        <v>East</v>
      </c>
      <c r="D1122">
        <f>IF(TRIM(Raw_Data!D1122)="",30435.80739,Raw_Data!D1122)</f>
        <v>21206.04</v>
      </c>
      <c r="E1122" t="str">
        <f>TEXT(Raw_Data!E1122,"DD-MM-YYYY")</f>
        <v>29-11-2024</v>
      </c>
    </row>
    <row r="1123" spans="1:5" x14ac:dyDescent="0.3">
      <c r="A1123">
        <v>2121</v>
      </c>
      <c r="B1123" t="str">
        <f>IF(TRIM(Raw_Data!B1123)="","Unknown",PROPER(TRIM(Raw_Data!B1123)))</f>
        <v>Keyboard</v>
      </c>
      <c r="C1123" t="str">
        <f>IF(TRIM(Raw_Data!C1123)="","South",TRIM(Raw_Data!C1123))</f>
        <v>South</v>
      </c>
      <c r="D1123">
        <f>IF(TRIM(Raw_Data!D1123)="",30435.80739,Raw_Data!D1123)</f>
        <v>30435.807390000002</v>
      </c>
      <c r="E1123" t="str">
        <f>TEXT(Raw_Data!E1123,"DD-MM-YYYY")</f>
        <v>29-09-2024</v>
      </c>
    </row>
    <row r="1124" spans="1:5" x14ac:dyDescent="0.3">
      <c r="A1124">
        <v>2122</v>
      </c>
      <c r="B1124" t="str">
        <f>IF(TRIM(Raw_Data!B1124)="","Unknown",PROPER(TRIM(Raw_Data!B1124)))</f>
        <v>Keyboard</v>
      </c>
      <c r="C1124" t="str">
        <f>IF(TRIM(Raw_Data!C1124)="","South",TRIM(Raw_Data!C1124))</f>
        <v>East</v>
      </c>
      <c r="D1124">
        <f>IF(TRIM(Raw_Data!D1124)="",30435.80739,Raw_Data!D1124)</f>
        <v>35679.93</v>
      </c>
      <c r="E1124" t="str">
        <f>TEXT(Raw_Data!E1124,"DD-MM-YYYY")</f>
        <v>18-05-2024</v>
      </c>
    </row>
    <row r="1125" spans="1:5" x14ac:dyDescent="0.3">
      <c r="A1125">
        <v>2123</v>
      </c>
      <c r="B1125" t="str">
        <f>IF(TRIM(Raw_Data!B1125)="","Unknown",PROPER(TRIM(Raw_Data!B1125)))</f>
        <v>Mouse</v>
      </c>
      <c r="C1125" t="str">
        <f>IF(TRIM(Raw_Data!C1125)="","South",TRIM(Raw_Data!C1125))</f>
        <v>South</v>
      </c>
      <c r="D1125">
        <f>IF(TRIM(Raw_Data!D1125)="",30435.80739,Raw_Data!D1125)</f>
        <v>26780.34</v>
      </c>
      <c r="E1125" t="str">
        <f>TEXT(Raw_Data!E1125,"DD-MM-YYYY")</f>
        <v>12-06-2024</v>
      </c>
    </row>
    <row r="1126" spans="1:5" x14ac:dyDescent="0.3">
      <c r="A1126">
        <v>2124</v>
      </c>
      <c r="B1126" t="str">
        <f>IF(TRIM(Raw_Data!B1126)="","Unknown",PROPER(TRIM(Raw_Data!B1126)))</f>
        <v>Laptop</v>
      </c>
      <c r="C1126" t="str">
        <f>IF(TRIM(Raw_Data!C1126)="","South",TRIM(Raw_Data!C1126))</f>
        <v>North</v>
      </c>
      <c r="D1126">
        <f>IF(TRIM(Raw_Data!D1126)="",30435.80739,Raw_Data!D1126)</f>
        <v>39020.97</v>
      </c>
      <c r="E1126" t="str">
        <f>TEXT(Raw_Data!E1126,"DD-MM-YYYY")</f>
        <v>26-06-2024</v>
      </c>
    </row>
    <row r="1127" spans="1:5" x14ac:dyDescent="0.3">
      <c r="A1127">
        <v>2125</v>
      </c>
      <c r="B1127" t="str">
        <f>IF(TRIM(Raw_Data!B1127)="","Unknown",PROPER(TRIM(Raw_Data!B1127)))</f>
        <v>Keyboard</v>
      </c>
      <c r="C1127" t="str">
        <f>IF(TRIM(Raw_Data!C1127)="","South",TRIM(Raw_Data!C1127))</f>
        <v>West</v>
      </c>
      <c r="D1127">
        <f>IF(TRIM(Raw_Data!D1127)="",30435.80739,Raw_Data!D1127)</f>
        <v>30435.807390000002</v>
      </c>
      <c r="E1127" t="str">
        <f>TEXT(Raw_Data!E1127,"DD-MM-YYYY")</f>
        <v>26-10-2024</v>
      </c>
    </row>
    <row r="1128" spans="1:5" x14ac:dyDescent="0.3">
      <c r="A1128">
        <v>2126</v>
      </c>
      <c r="B1128" t="str">
        <f>IF(TRIM(Raw_Data!B1128)="","Unknown",PROPER(TRIM(Raw_Data!B1128)))</f>
        <v>Laptop</v>
      </c>
      <c r="C1128" t="str">
        <f>IF(TRIM(Raw_Data!C1128)="","South",TRIM(Raw_Data!C1128))</f>
        <v>East</v>
      </c>
      <c r="D1128">
        <f>IF(TRIM(Raw_Data!D1128)="",30435.80739,Raw_Data!D1128)</f>
        <v>38757.43</v>
      </c>
      <c r="E1128" t="str">
        <f>TEXT(Raw_Data!E1128,"DD-MM-YYYY")</f>
        <v>09-11-2024</v>
      </c>
    </row>
    <row r="1129" spans="1:5" x14ac:dyDescent="0.3">
      <c r="A1129">
        <v>2127</v>
      </c>
      <c r="B1129" t="str">
        <f>IF(TRIM(Raw_Data!B1129)="","Unknown",PROPER(TRIM(Raw_Data!B1129)))</f>
        <v>Mouse</v>
      </c>
      <c r="C1129" t="str">
        <f>IF(TRIM(Raw_Data!C1129)="","South",TRIM(Raw_Data!C1129))</f>
        <v>West</v>
      </c>
      <c r="D1129">
        <f>IF(TRIM(Raw_Data!D1129)="",30435.80739,Raw_Data!D1129)</f>
        <v>30203.98</v>
      </c>
      <c r="E1129" t="str">
        <f>TEXT(Raw_Data!E1129,"DD-MM-YYYY")</f>
        <v>06-10-2024</v>
      </c>
    </row>
    <row r="1130" spans="1:5" x14ac:dyDescent="0.3">
      <c r="A1130">
        <v>2128</v>
      </c>
      <c r="B1130" t="str">
        <f>IF(TRIM(Raw_Data!B1130)="","Unknown",PROPER(TRIM(Raw_Data!B1130)))</f>
        <v>Mouse</v>
      </c>
      <c r="C1130" t="str">
        <f>IF(TRIM(Raw_Data!C1130)="","South",TRIM(Raw_Data!C1130))</f>
        <v>West</v>
      </c>
      <c r="D1130">
        <f>IF(TRIM(Raw_Data!D1130)="",30435.80739,Raw_Data!D1130)</f>
        <v>54282.75</v>
      </c>
      <c r="E1130" t="str">
        <f>TEXT(Raw_Data!E1130,"DD-MM-YYYY")</f>
        <v>21-12-2024</v>
      </c>
    </row>
    <row r="1131" spans="1:5" x14ac:dyDescent="0.3">
      <c r="A1131">
        <v>2129</v>
      </c>
      <c r="B1131" t="str">
        <f>IF(TRIM(Raw_Data!B1131)="","Unknown",PROPER(TRIM(Raw_Data!B1131)))</f>
        <v>Tablet</v>
      </c>
      <c r="C1131" t="str">
        <f>IF(TRIM(Raw_Data!C1131)="","South",TRIM(Raw_Data!C1131))</f>
        <v>South</v>
      </c>
      <c r="D1131">
        <f>IF(TRIM(Raw_Data!D1131)="",30435.80739,Raw_Data!D1131)</f>
        <v>24505.63</v>
      </c>
      <c r="E1131" t="str">
        <f>TEXT(Raw_Data!E1131,"DD-MM-YYYY")</f>
        <v>16-09-2024</v>
      </c>
    </row>
    <row r="1132" spans="1:5" x14ac:dyDescent="0.3">
      <c r="A1132">
        <v>2130</v>
      </c>
      <c r="B1132" t="str">
        <f>IF(TRIM(Raw_Data!B1132)="","Unknown",PROPER(TRIM(Raw_Data!B1132)))</f>
        <v>Laptop</v>
      </c>
      <c r="C1132" t="str">
        <f>IF(TRIM(Raw_Data!C1132)="","South",TRIM(Raw_Data!C1132))</f>
        <v>North</v>
      </c>
      <c r="D1132">
        <f>IF(TRIM(Raw_Data!D1132)="",30435.80739,Raw_Data!D1132)</f>
        <v>11608.07</v>
      </c>
      <c r="E1132" t="str">
        <f>TEXT(Raw_Data!E1132,"DD-MM-YYYY")</f>
        <v>03-09-2024</v>
      </c>
    </row>
    <row r="1133" spans="1:5" x14ac:dyDescent="0.3">
      <c r="A1133">
        <v>2131</v>
      </c>
      <c r="B1133" t="str">
        <f>IF(TRIM(Raw_Data!B1133)="","Unknown",PROPER(TRIM(Raw_Data!B1133)))</f>
        <v>Unknown</v>
      </c>
      <c r="C1133" t="str">
        <f>IF(TRIM(Raw_Data!C1133)="","South",TRIM(Raw_Data!C1133))</f>
        <v>East</v>
      </c>
      <c r="D1133">
        <f>IF(TRIM(Raw_Data!D1133)="",30435.80739,Raw_Data!D1133)</f>
        <v>6785.41</v>
      </c>
      <c r="E1133" t="str">
        <f>TEXT(Raw_Data!E1133,"DD-MM-YYYY")</f>
        <v>04-11-2024</v>
      </c>
    </row>
    <row r="1134" spans="1:5" x14ac:dyDescent="0.3">
      <c r="A1134">
        <v>2132</v>
      </c>
      <c r="B1134" t="str">
        <f>IF(TRIM(Raw_Data!B1134)="","Unknown",PROPER(TRIM(Raw_Data!B1134)))</f>
        <v>Laptop</v>
      </c>
      <c r="C1134" t="str">
        <f>IF(TRIM(Raw_Data!C1134)="","South",TRIM(Raw_Data!C1134))</f>
        <v>East</v>
      </c>
      <c r="D1134">
        <f>IF(TRIM(Raw_Data!D1134)="",30435.80739,Raw_Data!D1134)</f>
        <v>17633.84</v>
      </c>
      <c r="E1134" t="str">
        <f>TEXT(Raw_Data!E1134,"DD-MM-YYYY")</f>
        <v>29-06-2024</v>
      </c>
    </row>
    <row r="1135" spans="1:5" x14ac:dyDescent="0.3">
      <c r="A1135">
        <v>2133</v>
      </c>
      <c r="B1135" t="str">
        <f>IF(TRIM(Raw_Data!B1135)="","Unknown",PROPER(TRIM(Raw_Data!B1135)))</f>
        <v>Mouse</v>
      </c>
      <c r="C1135" t="str">
        <f>IF(TRIM(Raw_Data!C1135)="","South",TRIM(Raw_Data!C1135))</f>
        <v>East</v>
      </c>
      <c r="D1135">
        <f>IF(TRIM(Raw_Data!D1135)="",30435.80739,Raw_Data!D1135)</f>
        <v>30435.807390000002</v>
      </c>
      <c r="E1135" t="str">
        <f>TEXT(Raw_Data!E1135,"DD-MM-YYYY")</f>
        <v>31-07-2024</v>
      </c>
    </row>
    <row r="1136" spans="1:5" x14ac:dyDescent="0.3">
      <c r="A1136">
        <v>2134</v>
      </c>
      <c r="B1136" t="str">
        <f>IF(TRIM(Raw_Data!B1136)="","Unknown",PROPER(TRIM(Raw_Data!B1136)))</f>
        <v>Laptop</v>
      </c>
      <c r="C1136" t="str">
        <f>IF(TRIM(Raw_Data!C1136)="","South",TRIM(Raw_Data!C1136))</f>
        <v>South</v>
      </c>
      <c r="D1136">
        <f>IF(TRIM(Raw_Data!D1136)="",30435.80739,Raw_Data!D1136)</f>
        <v>29087.47</v>
      </c>
      <c r="E1136" t="str">
        <f>TEXT(Raw_Data!E1136,"DD-MM-YYYY")</f>
        <v>12-10-2024</v>
      </c>
    </row>
    <row r="1137" spans="1:5" x14ac:dyDescent="0.3">
      <c r="A1137">
        <v>2135</v>
      </c>
      <c r="B1137" t="str">
        <f>IF(TRIM(Raw_Data!B1137)="","Unknown",PROPER(TRIM(Raw_Data!B1137)))</f>
        <v>Tablet</v>
      </c>
      <c r="C1137" t="str">
        <f>IF(TRIM(Raw_Data!C1137)="","South",TRIM(Raw_Data!C1137))</f>
        <v>South</v>
      </c>
      <c r="D1137">
        <f>IF(TRIM(Raw_Data!D1137)="",30435.80739,Raw_Data!D1137)</f>
        <v>10475.59</v>
      </c>
      <c r="E1137" t="str">
        <f>TEXT(Raw_Data!E1137,"DD-MM-YYYY")</f>
        <v>30-08-2024</v>
      </c>
    </row>
    <row r="1138" spans="1:5" x14ac:dyDescent="0.3">
      <c r="A1138">
        <v>2136</v>
      </c>
      <c r="B1138" t="str">
        <f>IF(TRIM(Raw_Data!B1138)="","Unknown",PROPER(TRIM(Raw_Data!B1138)))</f>
        <v>Monitor</v>
      </c>
      <c r="C1138" t="str">
        <f>IF(TRIM(Raw_Data!C1138)="","South",TRIM(Raw_Data!C1138))</f>
        <v>West</v>
      </c>
      <c r="D1138">
        <f>IF(TRIM(Raw_Data!D1138)="",30435.80739,Raw_Data!D1138)</f>
        <v>58556.11</v>
      </c>
      <c r="E1138" t="str">
        <f>TEXT(Raw_Data!E1138,"DD-MM-YYYY")</f>
        <v>10-07-2024</v>
      </c>
    </row>
    <row r="1139" spans="1:5" x14ac:dyDescent="0.3">
      <c r="A1139">
        <v>2137</v>
      </c>
      <c r="B1139" t="str">
        <f>IF(TRIM(Raw_Data!B1139)="","Unknown",PROPER(TRIM(Raw_Data!B1139)))</f>
        <v>Monitor</v>
      </c>
      <c r="C1139" t="str">
        <f>IF(TRIM(Raw_Data!C1139)="","South",TRIM(Raw_Data!C1139))</f>
        <v>East</v>
      </c>
      <c r="D1139">
        <f>IF(TRIM(Raw_Data!D1139)="",30435.80739,Raw_Data!D1139)</f>
        <v>45029.01</v>
      </c>
      <c r="E1139" t="str">
        <f>TEXT(Raw_Data!E1139,"DD-MM-YYYY")</f>
        <v>21-09-2024</v>
      </c>
    </row>
    <row r="1140" spans="1:5" x14ac:dyDescent="0.3">
      <c r="A1140">
        <v>2138</v>
      </c>
      <c r="B1140" t="str">
        <f>IF(TRIM(Raw_Data!B1140)="","Unknown",PROPER(TRIM(Raw_Data!B1140)))</f>
        <v>Tablet</v>
      </c>
      <c r="C1140" t="str">
        <f>IF(TRIM(Raw_Data!C1140)="","South",TRIM(Raw_Data!C1140))</f>
        <v>South</v>
      </c>
      <c r="D1140">
        <f>IF(TRIM(Raw_Data!D1140)="",30435.80739,Raw_Data!D1140)</f>
        <v>22652.6</v>
      </c>
      <c r="E1140" t="str">
        <f>TEXT(Raw_Data!E1140,"DD-MM-YYYY")</f>
        <v>18-06-2024</v>
      </c>
    </row>
    <row r="1141" spans="1:5" x14ac:dyDescent="0.3">
      <c r="A1141">
        <v>2139</v>
      </c>
      <c r="B1141" t="str">
        <f>IF(TRIM(Raw_Data!B1141)="","Unknown",PROPER(TRIM(Raw_Data!B1141)))</f>
        <v>Monitor</v>
      </c>
      <c r="C1141" t="str">
        <f>IF(TRIM(Raw_Data!C1141)="","South",TRIM(Raw_Data!C1141))</f>
        <v>North</v>
      </c>
      <c r="D1141">
        <f>IF(TRIM(Raw_Data!D1141)="",30435.80739,Raw_Data!D1141)</f>
        <v>4921.91</v>
      </c>
      <c r="E1141" t="str">
        <f>TEXT(Raw_Data!E1141,"DD-MM-YYYY")</f>
        <v>07-02-2024</v>
      </c>
    </row>
    <row r="1142" spans="1:5" x14ac:dyDescent="0.3">
      <c r="A1142">
        <v>2140</v>
      </c>
      <c r="B1142" t="str">
        <f>IF(TRIM(Raw_Data!B1142)="","Unknown",PROPER(TRIM(Raw_Data!B1142)))</f>
        <v>Tablet</v>
      </c>
      <c r="C1142" t="str">
        <f>IF(TRIM(Raw_Data!C1142)="","South",TRIM(Raw_Data!C1142))</f>
        <v>West</v>
      </c>
      <c r="D1142">
        <f>IF(TRIM(Raw_Data!D1142)="",30435.80739,Raw_Data!D1142)</f>
        <v>53375.74</v>
      </c>
      <c r="E1142" t="str">
        <f>TEXT(Raw_Data!E1142,"DD-MM-YYYY")</f>
        <v>08-01-2024</v>
      </c>
    </row>
    <row r="1143" spans="1:5" x14ac:dyDescent="0.3">
      <c r="A1143">
        <v>2141</v>
      </c>
      <c r="B1143" t="str">
        <f>IF(TRIM(Raw_Data!B1143)="","Unknown",PROPER(TRIM(Raw_Data!B1143)))</f>
        <v>Keyboard</v>
      </c>
      <c r="C1143" t="str">
        <f>IF(TRIM(Raw_Data!C1143)="","South",TRIM(Raw_Data!C1143))</f>
        <v>North</v>
      </c>
      <c r="D1143">
        <f>IF(TRIM(Raw_Data!D1143)="",30435.80739,Raw_Data!D1143)</f>
        <v>1680.03</v>
      </c>
      <c r="E1143" t="str">
        <f>TEXT(Raw_Data!E1143,"DD-MM-YYYY")</f>
        <v>02-05-2024</v>
      </c>
    </row>
    <row r="1144" spans="1:5" x14ac:dyDescent="0.3">
      <c r="A1144">
        <v>2142</v>
      </c>
      <c r="B1144" t="str">
        <f>IF(TRIM(Raw_Data!B1144)="","Unknown",PROPER(TRIM(Raw_Data!B1144)))</f>
        <v>Unknown</v>
      </c>
      <c r="C1144" t="str">
        <f>IF(TRIM(Raw_Data!C1144)="","South",TRIM(Raw_Data!C1144))</f>
        <v>North</v>
      </c>
      <c r="D1144">
        <f>IF(TRIM(Raw_Data!D1144)="",30435.80739,Raw_Data!D1144)</f>
        <v>30435.807390000002</v>
      </c>
      <c r="E1144" t="str">
        <f>TEXT(Raw_Data!E1144,"DD-MM-YYYY")</f>
        <v>11-01-2024</v>
      </c>
    </row>
    <row r="1145" spans="1:5" x14ac:dyDescent="0.3">
      <c r="A1145">
        <v>2143</v>
      </c>
      <c r="B1145" t="str">
        <f>IF(TRIM(Raw_Data!B1145)="","Unknown",PROPER(TRIM(Raw_Data!B1145)))</f>
        <v>Laptop</v>
      </c>
      <c r="C1145" t="str">
        <f>IF(TRIM(Raw_Data!C1145)="","South",TRIM(Raw_Data!C1145))</f>
        <v>South</v>
      </c>
      <c r="D1145">
        <f>IF(TRIM(Raw_Data!D1145)="",30435.80739,Raw_Data!D1145)</f>
        <v>20695.080000000002</v>
      </c>
      <c r="E1145" t="str">
        <f>TEXT(Raw_Data!E1145,"DD-MM-YYYY")</f>
        <v>11-09-2024</v>
      </c>
    </row>
    <row r="1146" spans="1:5" x14ac:dyDescent="0.3">
      <c r="A1146">
        <v>2144</v>
      </c>
      <c r="B1146" t="str">
        <f>IF(TRIM(Raw_Data!B1146)="","Unknown",PROPER(TRIM(Raw_Data!B1146)))</f>
        <v>Monitor</v>
      </c>
      <c r="C1146" t="str">
        <f>IF(TRIM(Raw_Data!C1146)="","South",TRIM(Raw_Data!C1146))</f>
        <v>East</v>
      </c>
      <c r="D1146">
        <f>IF(TRIM(Raw_Data!D1146)="",30435.80739,Raw_Data!D1146)</f>
        <v>11599.9</v>
      </c>
      <c r="E1146" t="str">
        <f>TEXT(Raw_Data!E1146,"DD-MM-YYYY")</f>
        <v>12-08-2024</v>
      </c>
    </row>
    <row r="1147" spans="1:5" x14ac:dyDescent="0.3">
      <c r="A1147">
        <v>2145</v>
      </c>
      <c r="B1147" t="str">
        <f>IF(TRIM(Raw_Data!B1147)="","Unknown",PROPER(TRIM(Raw_Data!B1147)))</f>
        <v>Mouse</v>
      </c>
      <c r="C1147" t="str">
        <f>IF(TRIM(Raw_Data!C1147)="","South",TRIM(Raw_Data!C1147))</f>
        <v>West</v>
      </c>
      <c r="D1147">
        <f>IF(TRIM(Raw_Data!D1147)="",30435.80739,Raw_Data!D1147)</f>
        <v>41994.42</v>
      </c>
      <c r="E1147" t="str">
        <f>TEXT(Raw_Data!E1147,"DD-MM-YYYY")</f>
        <v>24-02-2024</v>
      </c>
    </row>
    <row r="1148" spans="1:5" x14ac:dyDescent="0.3">
      <c r="A1148">
        <v>2146</v>
      </c>
      <c r="B1148" t="str">
        <f>IF(TRIM(Raw_Data!B1148)="","Unknown",PROPER(TRIM(Raw_Data!B1148)))</f>
        <v>Laptop</v>
      </c>
      <c r="C1148" t="str">
        <f>IF(TRIM(Raw_Data!C1148)="","South",TRIM(Raw_Data!C1148))</f>
        <v>South</v>
      </c>
      <c r="D1148">
        <f>IF(TRIM(Raw_Data!D1148)="",30435.80739,Raw_Data!D1148)</f>
        <v>44831.03</v>
      </c>
      <c r="E1148" t="str">
        <f>TEXT(Raw_Data!E1148,"DD-MM-YYYY")</f>
        <v>21-06-2024</v>
      </c>
    </row>
    <row r="1149" spans="1:5" x14ac:dyDescent="0.3">
      <c r="A1149">
        <v>2147</v>
      </c>
      <c r="B1149" t="str">
        <f>IF(TRIM(Raw_Data!B1149)="","Unknown",PROPER(TRIM(Raw_Data!B1149)))</f>
        <v>Tablet</v>
      </c>
      <c r="C1149" t="str">
        <f>IF(TRIM(Raw_Data!C1149)="","South",TRIM(Raw_Data!C1149))</f>
        <v>South</v>
      </c>
      <c r="D1149">
        <f>IF(TRIM(Raw_Data!D1149)="",30435.80739,Raw_Data!D1149)</f>
        <v>31690.66</v>
      </c>
      <c r="E1149" t="str">
        <f>TEXT(Raw_Data!E1149,"DD-MM-YYYY")</f>
        <v>01-12-2024</v>
      </c>
    </row>
    <row r="1150" spans="1:5" x14ac:dyDescent="0.3">
      <c r="A1150">
        <v>2148</v>
      </c>
      <c r="B1150" t="str">
        <f>IF(TRIM(Raw_Data!B1150)="","Unknown",PROPER(TRIM(Raw_Data!B1150)))</f>
        <v>Laptop</v>
      </c>
      <c r="C1150" t="str">
        <f>IF(TRIM(Raw_Data!C1150)="","South",TRIM(Raw_Data!C1150))</f>
        <v>South</v>
      </c>
      <c r="D1150">
        <f>IF(TRIM(Raw_Data!D1150)="",30435.80739,Raw_Data!D1150)</f>
        <v>43554.22</v>
      </c>
      <c r="E1150" t="str">
        <f>TEXT(Raw_Data!E1150,"DD-MM-YYYY")</f>
        <v>05-08-2024</v>
      </c>
    </row>
    <row r="1151" spans="1:5" x14ac:dyDescent="0.3">
      <c r="A1151">
        <v>2149</v>
      </c>
      <c r="B1151" t="str">
        <f>IF(TRIM(Raw_Data!B1151)="","Unknown",PROPER(TRIM(Raw_Data!B1151)))</f>
        <v>Mouse</v>
      </c>
      <c r="C1151" t="str">
        <f>IF(TRIM(Raw_Data!C1151)="","South",TRIM(Raw_Data!C1151))</f>
        <v>East</v>
      </c>
      <c r="D1151">
        <f>IF(TRIM(Raw_Data!D1151)="",30435.80739,Raw_Data!D1151)</f>
        <v>25751.31</v>
      </c>
      <c r="E1151" t="str">
        <f>TEXT(Raw_Data!E1151,"DD-MM-YYYY")</f>
        <v>12-06-2024</v>
      </c>
    </row>
    <row r="1152" spans="1:5" x14ac:dyDescent="0.3">
      <c r="A1152">
        <v>2150</v>
      </c>
      <c r="B1152" t="str">
        <f>IF(TRIM(Raw_Data!B1152)="","Unknown",PROPER(TRIM(Raw_Data!B1152)))</f>
        <v>Tablet</v>
      </c>
      <c r="C1152" t="str">
        <f>IF(TRIM(Raw_Data!C1152)="","South",TRIM(Raw_Data!C1152))</f>
        <v>West</v>
      </c>
      <c r="D1152">
        <f>IF(TRIM(Raw_Data!D1152)="",30435.80739,Raw_Data!D1152)</f>
        <v>48807.89</v>
      </c>
      <c r="E1152" t="str">
        <f>TEXT(Raw_Data!E1152,"DD-MM-YYYY")</f>
        <v>01-09-2024</v>
      </c>
    </row>
    <row r="1153" spans="1:5" x14ac:dyDescent="0.3">
      <c r="A1153">
        <v>2151</v>
      </c>
      <c r="B1153" t="str">
        <f>IF(TRIM(Raw_Data!B1153)="","Unknown",PROPER(TRIM(Raw_Data!B1153)))</f>
        <v>Laptop</v>
      </c>
      <c r="C1153" t="str">
        <f>IF(TRIM(Raw_Data!C1153)="","South",TRIM(Raw_Data!C1153))</f>
        <v>South</v>
      </c>
      <c r="D1153">
        <f>IF(TRIM(Raw_Data!D1153)="",30435.80739,Raw_Data!D1153)</f>
        <v>19650.189999999999</v>
      </c>
      <c r="E1153" t="str">
        <f>TEXT(Raw_Data!E1153,"DD-MM-YYYY")</f>
        <v>02-11-2024</v>
      </c>
    </row>
    <row r="1154" spans="1:5" x14ac:dyDescent="0.3">
      <c r="A1154">
        <v>2152</v>
      </c>
      <c r="B1154" t="str">
        <f>IF(TRIM(Raw_Data!B1154)="","Unknown",PROPER(TRIM(Raw_Data!B1154)))</f>
        <v>Laptop</v>
      </c>
      <c r="C1154" t="str">
        <f>IF(TRIM(Raw_Data!C1154)="","South",TRIM(Raw_Data!C1154))</f>
        <v>East</v>
      </c>
      <c r="D1154">
        <f>IF(TRIM(Raw_Data!D1154)="",30435.80739,Raw_Data!D1154)</f>
        <v>30435.807390000002</v>
      </c>
      <c r="E1154" t="str">
        <f>TEXT(Raw_Data!E1154,"DD-MM-YYYY")</f>
        <v>29-02-2024</v>
      </c>
    </row>
    <row r="1155" spans="1:5" x14ac:dyDescent="0.3">
      <c r="A1155">
        <v>2153</v>
      </c>
      <c r="B1155" t="str">
        <f>IF(TRIM(Raw_Data!B1155)="","Unknown",PROPER(TRIM(Raw_Data!B1155)))</f>
        <v>Mouse</v>
      </c>
      <c r="C1155" t="str">
        <f>IF(TRIM(Raw_Data!C1155)="","South",TRIM(Raw_Data!C1155))</f>
        <v>South</v>
      </c>
      <c r="D1155">
        <f>IF(TRIM(Raw_Data!D1155)="",30435.80739,Raw_Data!D1155)</f>
        <v>19839.7</v>
      </c>
      <c r="E1155" t="str">
        <f>TEXT(Raw_Data!E1155,"DD-MM-YYYY")</f>
        <v>17-02-2024</v>
      </c>
    </row>
    <row r="1156" spans="1:5" x14ac:dyDescent="0.3">
      <c r="A1156">
        <v>2154</v>
      </c>
      <c r="B1156" t="str">
        <f>IF(TRIM(Raw_Data!B1156)="","Unknown",PROPER(TRIM(Raw_Data!B1156)))</f>
        <v>Tablet</v>
      </c>
      <c r="C1156" t="str">
        <f>IF(TRIM(Raw_Data!C1156)="","South",TRIM(Raw_Data!C1156))</f>
        <v>North</v>
      </c>
      <c r="D1156">
        <f>IF(TRIM(Raw_Data!D1156)="",30435.80739,Raw_Data!D1156)</f>
        <v>47836.75</v>
      </c>
      <c r="E1156" t="str">
        <f>TEXT(Raw_Data!E1156,"DD-MM-YYYY")</f>
        <v>06-02-2024</v>
      </c>
    </row>
    <row r="1157" spans="1:5" x14ac:dyDescent="0.3">
      <c r="A1157">
        <v>2155</v>
      </c>
      <c r="B1157" t="str">
        <f>IF(TRIM(Raw_Data!B1157)="","Unknown",PROPER(TRIM(Raw_Data!B1157)))</f>
        <v>Monitor</v>
      </c>
      <c r="C1157" t="str">
        <f>IF(TRIM(Raw_Data!C1157)="","South",TRIM(Raw_Data!C1157))</f>
        <v>North</v>
      </c>
      <c r="D1157">
        <f>IF(TRIM(Raw_Data!D1157)="",30435.80739,Raw_Data!D1157)</f>
        <v>38474.26</v>
      </c>
      <c r="E1157" t="str">
        <f>TEXT(Raw_Data!E1157,"DD-MM-YYYY")</f>
        <v>22-05-2024</v>
      </c>
    </row>
    <row r="1158" spans="1:5" x14ac:dyDescent="0.3">
      <c r="A1158">
        <v>2156</v>
      </c>
      <c r="B1158" t="str">
        <f>IF(TRIM(Raw_Data!B1158)="","Unknown",PROPER(TRIM(Raw_Data!B1158)))</f>
        <v>Keyboard</v>
      </c>
      <c r="C1158" t="str">
        <f>IF(TRIM(Raw_Data!C1158)="","South",TRIM(Raw_Data!C1158))</f>
        <v>North</v>
      </c>
      <c r="D1158">
        <f>IF(TRIM(Raw_Data!D1158)="",30435.80739,Raw_Data!D1158)</f>
        <v>9038.7800000000007</v>
      </c>
      <c r="E1158" t="str">
        <f>TEXT(Raw_Data!E1158,"DD-MM-YYYY")</f>
        <v>19-11-2024</v>
      </c>
    </row>
    <row r="1159" spans="1:5" x14ac:dyDescent="0.3">
      <c r="A1159">
        <v>2157</v>
      </c>
      <c r="B1159" t="str">
        <f>IF(TRIM(Raw_Data!B1159)="","Unknown",PROPER(TRIM(Raw_Data!B1159)))</f>
        <v>Tablet</v>
      </c>
      <c r="C1159" t="str">
        <f>IF(TRIM(Raw_Data!C1159)="","South",TRIM(Raw_Data!C1159))</f>
        <v>East</v>
      </c>
      <c r="D1159">
        <f>IF(TRIM(Raw_Data!D1159)="",30435.80739,Raw_Data!D1159)</f>
        <v>36095.129999999997</v>
      </c>
      <c r="E1159" t="str">
        <f>TEXT(Raw_Data!E1159,"DD-MM-YYYY")</f>
        <v>18-10-2024</v>
      </c>
    </row>
    <row r="1160" spans="1:5" x14ac:dyDescent="0.3">
      <c r="A1160">
        <v>2158</v>
      </c>
      <c r="B1160" t="str">
        <f>IF(TRIM(Raw_Data!B1160)="","Unknown",PROPER(TRIM(Raw_Data!B1160)))</f>
        <v>Tablet</v>
      </c>
      <c r="C1160" t="str">
        <f>IF(TRIM(Raw_Data!C1160)="","South",TRIM(Raw_Data!C1160))</f>
        <v>East</v>
      </c>
      <c r="D1160">
        <f>IF(TRIM(Raw_Data!D1160)="",30435.80739,Raw_Data!D1160)</f>
        <v>6371.14</v>
      </c>
      <c r="E1160" t="str">
        <f>TEXT(Raw_Data!E1160,"DD-MM-YYYY")</f>
        <v>18-02-2024</v>
      </c>
    </row>
    <row r="1161" spans="1:5" x14ac:dyDescent="0.3">
      <c r="A1161">
        <v>2159</v>
      </c>
      <c r="B1161" t="str">
        <f>IF(TRIM(Raw_Data!B1161)="","Unknown",PROPER(TRIM(Raw_Data!B1161)))</f>
        <v>Monitor</v>
      </c>
      <c r="C1161" t="str">
        <f>IF(TRIM(Raw_Data!C1161)="","South",TRIM(Raw_Data!C1161))</f>
        <v>West</v>
      </c>
      <c r="D1161">
        <f>IF(TRIM(Raw_Data!D1161)="",30435.80739,Raw_Data!D1161)</f>
        <v>49864.55</v>
      </c>
      <c r="E1161" t="str">
        <f>TEXT(Raw_Data!E1161,"DD-MM-YYYY")</f>
        <v>04-11-2024</v>
      </c>
    </row>
    <row r="1162" spans="1:5" x14ac:dyDescent="0.3">
      <c r="A1162">
        <v>2160</v>
      </c>
      <c r="B1162" t="str">
        <f>IF(TRIM(Raw_Data!B1162)="","Unknown",PROPER(TRIM(Raw_Data!B1162)))</f>
        <v>Tablet</v>
      </c>
      <c r="C1162" t="str">
        <f>IF(TRIM(Raw_Data!C1162)="","South",TRIM(Raw_Data!C1162))</f>
        <v>North</v>
      </c>
      <c r="D1162">
        <f>IF(TRIM(Raw_Data!D1162)="",30435.80739,Raw_Data!D1162)</f>
        <v>29781.55</v>
      </c>
      <c r="E1162" t="str">
        <f>TEXT(Raw_Data!E1162,"DD-MM-YYYY")</f>
        <v>12-05-2024</v>
      </c>
    </row>
    <row r="1163" spans="1:5" x14ac:dyDescent="0.3">
      <c r="A1163">
        <v>2161</v>
      </c>
      <c r="B1163" t="str">
        <f>IF(TRIM(Raw_Data!B1163)="","Unknown",PROPER(TRIM(Raw_Data!B1163)))</f>
        <v>Monitor</v>
      </c>
      <c r="C1163" t="str">
        <f>IF(TRIM(Raw_Data!C1163)="","South",TRIM(Raw_Data!C1163))</f>
        <v>West</v>
      </c>
      <c r="D1163">
        <f>IF(TRIM(Raw_Data!D1163)="",30435.80739,Raw_Data!D1163)</f>
        <v>51802.71</v>
      </c>
      <c r="E1163" t="str">
        <f>TEXT(Raw_Data!E1163,"DD-MM-YYYY")</f>
        <v>28-05-2024</v>
      </c>
    </row>
    <row r="1164" spans="1:5" x14ac:dyDescent="0.3">
      <c r="A1164">
        <v>2162</v>
      </c>
      <c r="B1164" t="str">
        <f>IF(TRIM(Raw_Data!B1164)="","Unknown",PROPER(TRIM(Raw_Data!B1164)))</f>
        <v>Tablet</v>
      </c>
      <c r="C1164" t="str">
        <f>IF(TRIM(Raw_Data!C1164)="","South",TRIM(Raw_Data!C1164))</f>
        <v>East</v>
      </c>
      <c r="D1164">
        <f>IF(TRIM(Raw_Data!D1164)="",30435.80739,Raw_Data!D1164)</f>
        <v>10359.59</v>
      </c>
      <c r="E1164" t="str">
        <f>TEXT(Raw_Data!E1164,"DD-MM-YYYY")</f>
        <v>10-05-2024</v>
      </c>
    </row>
    <row r="1165" spans="1:5" x14ac:dyDescent="0.3">
      <c r="A1165">
        <v>2163</v>
      </c>
      <c r="B1165" t="str">
        <f>IF(TRIM(Raw_Data!B1165)="","Unknown",PROPER(TRIM(Raw_Data!B1165)))</f>
        <v>Mouse</v>
      </c>
      <c r="C1165" t="str">
        <f>IF(TRIM(Raw_Data!C1165)="","South",TRIM(Raw_Data!C1165))</f>
        <v>North</v>
      </c>
      <c r="D1165">
        <f>IF(TRIM(Raw_Data!D1165)="",30435.80739,Raw_Data!D1165)</f>
        <v>31271.56</v>
      </c>
      <c r="E1165" t="str">
        <f>TEXT(Raw_Data!E1165,"DD-MM-YYYY")</f>
        <v>23-06-2024</v>
      </c>
    </row>
    <row r="1166" spans="1:5" x14ac:dyDescent="0.3">
      <c r="A1166">
        <v>2164</v>
      </c>
      <c r="B1166" t="str">
        <f>IF(TRIM(Raw_Data!B1166)="","Unknown",PROPER(TRIM(Raw_Data!B1166)))</f>
        <v>Laptop</v>
      </c>
      <c r="C1166" t="str">
        <f>IF(TRIM(Raw_Data!C1166)="","South",TRIM(Raw_Data!C1166))</f>
        <v>South</v>
      </c>
      <c r="D1166">
        <f>IF(TRIM(Raw_Data!D1166)="",30435.80739,Raw_Data!D1166)</f>
        <v>30435.807390000002</v>
      </c>
      <c r="E1166" t="str">
        <f>TEXT(Raw_Data!E1166,"DD-MM-YYYY")</f>
        <v>26-11-2024</v>
      </c>
    </row>
    <row r="1167" spans="1:5" x14ac:dyDescent="0.3">
      <c r="A1167">
        <v>2165</v>
      </c>
      <c r="B1167" t="str">
        <f>IF(TRIM(Raw_Data!B1167)="","Unknown",PROPER(TRIM(Raw_Data!B1167)))</f>
        <v>Tablet</v>
      </c>
      <c r="C1167" t="str">
        <f>IF(TRIM(Raw_Data!C1167)="","South",TRIM(Raw_Data!C1167))</f>
        <v>South</v>
      </c>
      <c r="D1167">
        <f>IF(TRIM(Raw_Data!D1167)="",30435.80739,Raw_Data!D1167)</f>
        <v>51812.7</v>
      </c>
      <c r="E1167" t="str">
        <f>TEXT(Raw_Data!E1167,"DD-MM-YYYY")</f>
        <v>22-09-2024</v>
      </c>
    </row>
    <row r="1168" spans="1:5" x14ac:dyDescent="0.3">
      <c r="A1168">
        <v>2166</v>
      </c>
      <c r="B1168" t="str">
        <f>IF(TRIM(Raw_Data!B1168)="","Unknown",PROPER(TRIM(Raw_Data!B1168)))</f>
        <v>Keyboard</v>
      </c>
      <c r="C1168" t="str">
        <f>IF(TRIM(Raw_Data!C1168)="","South",TRIM(Raw_Data!C1168))</f>
        <v>South</v>
      </c>
      <c r="D1168">
        <f>IF(TRIM(Raw_Data!D1168)="",30435.80739,Raw_Data!D1168)</f>
        <v>22808.94</v>
      </c>
      <c r="E1168" t="str">
        <f>TEXT(Raw_Data!E1168,"DD-MM-YYYY")</f>
        <v>27-03-2024</v>
      </c>
    </row>
    <row r="1169" spans="1:5" x14ac:dyDescent="0.3">
      <c r="A1169">
        <v>2167</v>
      </c>
      <c r="B1169" t="str">
        <f>IF(TRIM(Raw_Data!B1169)="","Unknown",PROPER(TRIM(Raw_Data!B1169)))</f>
        <v>Keyboard</v>
      </c>
      <c r="C1169" t="str">
        <f>IF(TRIM(Raw_Data!C1169)="","South",TRIM(Raw_Data!C1169))</f>
        <v>East</v>
      </c>
      <c r="D1169">
        <f>IF(TRIM(Raw_Data!D1169)="",30435.80739,Raw_Data!D1169)</f>
        <v>6764.73</v>
      </c>
      <c r="E1169" t="str">
        <f>TEXT(Raw_Data!E1169,"DD-MM-YYYY")</f>
        <v>27-09-2024</v>
      </c>
    </row>
    <row r="1170" spans="1:5" x14ac:dyDescent="0.3">
      <c r="A1170">
        <v>2168</v>
      </c>
      <c r="B1170" t="str">
        <f>IF(TRIM(Raw_Data!B1170)="","Unknown",PROPER(TRIM(Raw_Data!B1170)))</f>
        <v>Tablet</v>
      </c>
      <c r="C1170" t="str">
        <f>IF(TRIM(Raw_Data!C1170)="","South",TRIM(Raw_Data!C1170))</f>
        <v>South</v>
      </c>
      <c r="D1170">
        <f>IF(TRIM(Raw_Data!D1170)="",30435.80739,Raw_Data!D1170)</f>
        <v>50212.58</v>
      </c>
      <c r="E1170" t="str">
        <f>TEXT(Raw_Data!E1170,"DD-MM-YYYY")</f>
        <v>05-04-2024</v>
      </c>
    </row>
    <row r="1171" spans="1:5" x14ac:dyDescent="0.3">
      <c r="A1171">
        <v>2169</v>
      </c>
      <c r="B1171" t="str">
        <f>IF(TRIM(Raw_Data!B1171)="","Unknown",PROPER(TRIM(Raw_Data!B1171)))</f>
        <v>Keyboard</v>
      </c>
      <c r="C1171" t="str">
        <f>IF(TRIM(Raw_Data!C1171)="","South",TRIM(Raw_Data!C1171))</f>
        <v>East</v>
      </c>
      <c r="D1171">
        <f>IF(TRIM(Raw_Data!D1171)="",30435.80739,Raw_Data!D1171)</f>
        <v>14068.12</v>
      </c>
      <c r="E1171" t="str">
        <f>TEXT(Raw_Data!E1171,"DD-MM-YYYY")</f>
        <v>14-06-2024</v>
      </c>
    </row>
    <row r="1172" spans="1:5" x14ac:dyDescent="0.3">
      <c r="A1172">
        <v>2170</v>
      </c>
      <c r="B1172" t="str">
        <f>IF(TRIM(Raw_Data!B1172)="","Unknown",PROPER(TRIM(Raw_Data!B1172)))</f>
        <v>Keyboard</v>
      </c>
      <c r="C1172" t="str">
        <f>IF(TRIM(Raw_Data!C1172)="","South",TRIM(Raw_Data!C1172))</f>
        <v>South</v>
      </c>
      <c r="D1172">
        <f>IF(TRIM(Raw_Data!D1172)="",30435.80739,Raw_Data!D1172)</f>
        <v>36651.31</v>
      </c>
      <c r="E1172" t="str">
        <f>TEXT(Raw_Data!E1172,"DD-MM-YYYY")</f>
        <v>07-09-2024</v>
      </c>
    </row>
    <row r="1173" spans="1:5" x14ac:dyDescent="0.3">
      <c r="A1173">
        <v>2171</v>
      </c>
      <c r="B1173" t="str">
        <f>IF(TRIM(Raw_Data!B1173)="","Unknown",PROPER(TRIM(Raw_Data!B1173)))</f>
        <v>Mouse</v>
      </c>
      <c r="C1173" t="str">
        <f>IF(TRIM(Raw_Data!C1173)="","South",TRIM(Raw_Data!C1173))</f>
        <v>East</v>
      </c>
      <c r="D1173">
        <f>IF(TRIM(Raw_Data!D1173)="",30435.80739,Raw_Data!D1173)</f>
        <v>55705.18</v>
      </c>
      <c r="E1173" t="str">
        <f>TEXT(Raw_Data!E1173,"DD-MM-YYYY")</f>
        <v>01-01-2024</v>
      </c>
    </row>
    <row r="1174" spans="1:5" x14ac:dyDescent="0.3">
      <c r="A1174">
        <v>2172</v>
      </c>
      <c r="B1174" t="str">
        <f>IF(TRIM(Raw_Data!B1174)="","Unknown",PROPER(TRIM(Raw_Data!B1174)))</f>
        <v>Mouse</v>
      </c>
      <c r="C1174" t="str">
        <f>IF(TRIM(Raw_Data!C1174)="","South",TRIM(Raw_Data!C1174))</f>
        <v>West</v>
      </c>
      <c r="D1174">
        <f>IF(TRIM(Raw_Data!D1174)="",30435.80739,Raw_Data!D1174)</f>
        <v>22916.34</v>
      </c>
      <c r="E1174" t="str">
        <f>TEXT(Raw_Data!E1174,"DD-MM-YYYY")</f>
        <v>09-09-2024</v>
      </c>
    </row>
    <row r="1175" spans="1:5" x14ac:dyDescent="0.3">
      <c r="A1175">
        <v>2173</v>
      </c>
      <c r="B1175" t="str">
        <f>IF(TRIM(Raw_Data!B1175)="","Unknown",PROPER(TRIM(Raw_Data!B1175)))</f>
        <v>Laptop</v>
      </c>
      <c r="C1175" t="str">
        <f>IF(TRIM(Raw_Data!C1175)="","South",TRIM(Raw_Data!C1175))</f>
        <v>West</v>
      </c>
      <c r="D1175">
        <f>IF(TRIM(Raw_Data!D1175)="",30435.80739,Raw_Data!D1175)</f>
        <v>1483.7</v>
      </c>
      <c r="E1175" t="str">
        <f>TEXT(Raw_Data!E1175,"DD-MM-YYYY")</f>
        <v>30-08-2024</v>
      </c>
    </row>
    <row r="1176" spans="1:5" x14ac:dyDescent="0.3">
      <c r="A1176">
        <v>2174</v>
      </c>
      <c r="B1176" t="str">
        <f>IF(TRIM(Raw_Data!B1176)="","Unknown",PROPER(TRIM(Raw_Data!B1176)))</f>
        <v>Mouse</v>
      </c>
      <c r="C1176" t="str">
        <f>IF(TRIM(Raw_Data!C1176)="","South",TRIM(Raw_Data!C1176))</f>
        <v>North</v>
      </c>
      <c r="D1176">
        <f>IF(TRIM(Raw_Data!D1176)="",30435.80739,Raw_Data!D1176)</f>
        <v>56883.07</v>
      </c>
      <c r="E1176" t="str">
        <f>TEXT(Raw_Data!E1176,"DD-MM-YYYY")</f>
        <v>22-09-2024</v>
      </c>
    </row>
    <row r="1177" spans="1:5" x14ac:dyDescent="0.3">
      <c r="A1177">
        <v>2175</v>
      </c>
      <c r="B1177" t="str">
        <f>IF(TRIM(Raw_Data!B1177)="","Unknown",PROPER(TRIM(Raw_Data!B1177)))</f>
        <v>Mouse</v>
      </c>
      <c r="C1177" t="str">
        <f>IF(TRIM(Raw_Data!C1177)="","South",TRIM(Raw_Data!C1177))</f>
        <v>East</v>
      </c>
      <c r="D1177">
        <f>IF(TRIM(Raw_Data!D1177)="",30435.80739,Raw_Data!D1177)</f>
        <v>9755.7000000000007</v>
      </c>
      <c r="E1177" t="str">
        <f>TEXT(Raw_Data!E1177,"DD-MM-YYYY")</f>
        <v>26-05-2024</v>
      </c>
    </row>
    <row r="1178" spans="1:5" x14ac:dyDescent="0.3">
      <c r="A1178">
        <v>2187</v>
      </c>
      <c r="B1178" t="str">
        <f>IF(TRIM(Raw_Data!B1178)="","Unknown",PROPER(TRIM(Raw_Data!B1178)))</f>
        <v>Mouse</v>
      </c>
      <c r="C1178" t="str">
        <f>IF(TRIM(Raw_Data!C1178)="","South",TRIM(Raw_Data!C1178))</f>
        <v>West</v>
      </c>
      <c r="D1178">
        <f>IF(TRIM(Raw_Data!D1178)="",30435.80739,Raw_Data!D1178)</f>
        <v>20878.39</v>
      </c>
      <c r="E1178" t="str">
        <f>TEXT(Raw_Data!E1178,"DD-MM-YYYY")</f>
        <v>28-01-2024</v>
      </c>
    </row>
    <row r="1179" spans="1:5" x14ac:dyDescent="0.3">
      <c r="A1179">
        <v>2177</v>
      </c>
      <c r="B1179" t="str">
        <f>IF(TRIM(Raw_Data!B1179)="","Unknown",PROPER(TRIM(Raw_Data!B1179)))</f>
        <v>Monitor</v>
      </c>
      <c r="C1179" t="str">
        <f>IF(TRIM(Raw_Data!C1179)="","South",TRIM(Raw_Data!C1179))</f>
        <v>West</v>
      </c>
      <c r="D1179">
        <f>IF(TRIM(Raw_Data!D1179)="",30435.80739,Raw_Data!D1179)</f>
        <v>30435.807390000002</v>
      </c>
      <c r="E1179" t="str">
        <f>TEXT(Raw_Data!E1179,"DD-MM-YYYY")</f>
        <v>18-12-2024</v>
      </c>
    </row>
    <row r="1180" spans="1:5" x14ac:dyDescent="0.3">
      <c r="A1180">
        <v>1599</v>
      </c>
      <c r="B1180" t="str">
        <f>IF(TRIM(Raw_Data!B1180)="","Unknown",PROPER(TRIM(Raw_Data!B1180)))</f>
        <v>Tablet</v>
      </c>
      <c r="C1180" t="str">
        <f>IF(TRIM(Raw_Data!C1180)="","South",TRIM(Raw_Data!C1180))</f>
        <v>North</v>
      </c>
      <c r="D1180">
        <f>IF(TRIM(Raw_Data!D1180)="",30435.80739,Raw_Data!D1180)</f>
        <v>35778.78</v>
      </c>
      <c r="E1180" t="str">
        <f>TEXT(Raw_Data!E1180,"DD-MM-YYYY")</f>
        <v>27-11-2024</v>
      </c>
    </row>
    <row r="1181" spans="1:5" x14ac:dyDescent="0.3">
      <c r="A1181">
        <v>2179</v>
      </c>
      <c r="B1181" t="str">
        <f>IF(TRIM(Raw_Data!B1181)="","Unknown",PROPER(TRIM(Raw_Data!B1181)))</f>
        <v>Keyboard</v>
      </c>
      <c r="C1181" t="str">
        <f>IF(TRIM(Raw_Data!C1181)="","South",TRIM(Raw_Data!C1181))</f>
        <v>South</v>
      </c>
      <c r="D1181">
        <f>IF(TRIM(Raw_Data!D1181)="",30435.80739,Raw_Data!D1181)</f>
        <v>30760.84</v>
      </c>
      <c r="E1181" t="str">
        <f>TEXT(Raw_Data!E1181,"DD-MM-YYYY")</f>
        <v>31-03-2024</v>
      </c>
    </row>
    <row r="1182" spans="1:5" x14ac:dyDescent="0.3">
      <c r="A1182">
        <v>2180</v>
      </c>
      <c r="B1182" t="str">
        <f>IF(TRIM(Raw_Data!B1182)="","Unknown",PROPER(TRIM(Raw_Data!B1182)))</f>
        <v>Laptop</v>
      </c>
      <c r="C1182" t="str">
        <f>IF(TRIM(Raw_Data!C1182)="","South",TRIM(Raw_Data!C1182))</f>
        <v>North</v>
      </c>
      <c r="D1182">
        <f>IF(TRIM(Raw_Data!D1182)="",30435.80739,Raw_Data!D1182)</f>
        <v>50142.97</v>
      </c>
      <c r="E1182" t="str">
        <f>TEXT(Raw_Data!E1182,"DD-MM-YYYY")</f>
        <v>14-08-2024</v>
      </c>
    </row>
    <row r="1183" spans="1:5" x14ac:dyDescent="0.3">
      <c r="A1183">
        <v>2181</v>
      </c>
      <c r="B1183" t="str">
        <f>IF(TRIM(Raw_Data!B1183)="","Unknown",PROPER(TRIM(Raw_Data!B1183)))</f>
        <v>Tablet</v>
      </c>
      <c r="C1183" t="str">
        <f>IF(TRIM(Raw_Data!C1183)="","South",TRIM(Raw_Data!C1183))</f>
        <v>West</v>
      </c>
      <c r="D1183">
        <f>IF(TRIM(Raw_Data!D1183)="",30435.80739,Raw_Data!D1183)</f>
        <v>19481.79</v>
      </c>
      <c r="E1183" t="str">
        <f>TEXT(Raw_Data!E1183,"DD-MM-YYYY")</f>
        <v>13-10-2024</v>
      </c>
    </row>
    <row r="1184" spans="1:5" x14ac:dyDescent="0.3">
      <c r="A1184">
        <v>2182</v>
      </c>
      <c r="B1184" t="str">
        <f>IF(TRIM(Raw_Data!B1184)="","Unknown",PROPER(TRIM(Raw_Data!B1184)))</f>
        <v>Tablet</v>
      </c>
      <c r="C1184" t="str">
        <f>IF(TRIM(Raw_Data!C1184)="","South",TRIM(Raw_Data!C1184))</f>
        <v>North</v>
      </c>
      <c r="D1184">
        <f>IF(TRIM(Raw_Data!D1184)="",30435.80739,Raw_Data!D1184)</f>
        <v>39781.81</v>
      </c>
      <c r="E1184" t="str">
        <f>TEXT(Raw_Data!E1184,"DD-MM-YYYY")</f>
        <v>13-01-2024</v>
      </c>
    </row>
    <row r="1185" spans="1:5" x14ac:dyDescent="0.3">
      <c r="A1185">
        <v>2183</v>
      </c>
      <c r="B1185" t="str">
        <f>IF(TRIM(Raw_Data!B1185)="","Unknown",PROPER(TRIM(Raw_Data!B1185)))</f>
        <v>Mouse</v>
      </c>
      <c r="C1185" t="str">
        <f>IF(TRIM(Raw_Data!C1185)="","South",TRIM(Raw_Data!C1185))</f>
        <v>North</v>
      </c>
      <c r="D1185">
        <f>IF(TRIM(Raw_Data!D1185)="",30435.80739,Raw_Data!D1185)</f>
        <v>29359.54</v>
      </c>
      <c r="E1185" t="str">
        <f>TEXT(Raw_Data!E1185,"DD-MM-YYYY")</f>
        <v>09-05-2024</v>
      </c>
    </row>
    <row r="1186" spans="1:5" x14ac:dyDescent="0.3">
      <c r="A1186">
        <v>2184</v>
      </c>
      <c r="B1186" t="str">
        <f>IF(TRIM(Raw_Data!B1186)="","Unknown",PROPER(TRIM(Raw_Data!B1186)))</f>
        <v>Mouse</v>
      </c>
      <c r="C1186" t="str">
        <f>IF(TRIM(Raw_Data!C1186)="","South",TRIM(Raw_Data!C1186))</f>
        <v>South</v>
      </c>
      <c r="D1186">
        <f>IF(TRIM(Raw_Data!D1186)="",30435.80739,Raw_Data!D1186)</f>
        <v>26478.78</v>
      </c>
      <c r="E1186" t="str">
        <f>TEXT(Raw_Data!E1186,"DD-MM-YYYY")</f>
        <v>09-05-2024</v>
      </c>
    </row>
    <row r="1187" spans="1:5" x14ac:dyDescent="0.3">
      <c r="A1187">
        <v>2185</v>
      </c>
      <c r="B1187" t="str">
        <f>IF(TRIM(Raw_Data!B1187)="","Unknown",PROPER(TRIM(Raw_Data!B1187)))</f>
        <v>Keyboard</v>
      </c>
      <c r="C1187" t="str">
        <f>IF(TRIM(Raw_Data!C1187)="","South",TRIM(Raw_Data!C1187))</f>
        <v>East</v>
      </c>
      <c r="D1187">
        <f>IF(TRIM(Raw_Data!D1187)="",30435.80739,Raw_Data!D1187)</f>
        <v>42764.959999999999</v>
      </c>
      <c r="E1187" t="str">
        <f>TEXT(Raw_Data!E1187,"DD-MM-YYYY")</f>
        <v>20-06-2024</v>
      </c>
    </row>
    <row r="1188" spans="1:5" x14ac:dyDescent="0.3">
      <c r="A1188">
        <v>2186</v>
      </c>
      <c r="B1188" t="str">
        <f>IF(TRIM(Raw_Data!B1188)="","Unknown",PROPER(TRIM(Raw_Data!B1188)))</f>
        <v>Mouse</v>
      </c>
      <c r="C1188" t="str">
        <f>IF(TRIM(Raw_Data!C1188)="","South",TRIM(Raw_Data!C1188))</f>
        <v>North</v>
      </c>
      <c r="D1188">
        <f>IF(TRIM(Raw_Data!D1188)="",30435.80739,Raw_Data!D1188)</f>
        <v>14599.2</v>
      </c>
      <c r="E1188" t="str">
        <f>TEXT(Raw_Data!E1188,"DD-MM-YYYY")</f>
        <v>29-04-2024</v>
      </c>
    </row>
    <row r="1189" spans="1:5" x14ac:dyDescent="0.3">
      <c r="A1189">
        <v>2187</v>
      </c>
      <c r="B1189" t="str">
        <f>IF(TRIM(Raw_Data!B1189)="","Unknown",PROPER(TRIM(Raw_Data!B1189)))</f>
        <v>Mouse</v>
      </c>
      <c r="C1189" t="str">
        <f>IF(TRIM(Raw_Data!C1189)="","South",TRIM(Raw_Data!C1189))</f>
        <v>South</v>
      </c>
      <c r="D1189">
        <f>IF(TRIM(Raw_Data!D1189)="",30435.80739,Raw_Data!D1189)</f>
        <v>15686.81</v>
      </c>
      <c r="E1189" t="str">
        <f>TEXT(Raw_Data!E1189,"DD-MM-YYYY")</f>
        <v>22-08-2024</v>
      </c>
    </row>
    <row r="1190" spans="1:5" x14ac:dyDescent="0.3">
      <c r="A1190">
        <v>2188</v>
      </c>
      <c r="B1190" t="str">
        <f>IF(TRIM(Raw_Data!B1190)="","Unknown",PROPER(TRIM(Raw_Data!B1190)))</f>
        <v>Tablet</v>
      </c>
      <c r="C1190" t="str">
        <f>IF(TRIM(Raw_Data!C1190)="","South",TRIM(Raw_Data!C1190))</f>
        <v>North</v>
      </c>
      <c r="D1190">
        <f>IF(TRIM(Raw_Data!D1190)="",30435.80739,Raw_Data!D1190)</f>
        <v>16531.52</v>
      </c>
      <c r="E1190" t="str">
        <f>TEXT(Raw_Data!E1190,"DD-MM-YYYY")</f>
        <v>23-02-2024</v>
      </c>
    </row>
    <row r="1191" spans="1:5" x14ac:dyDescent="0.3">
      <c r="A1191">
        <v>2189</v>
      </c>
      <c r="B1191" t="str">
        <f>IF(TRIM(Raw_Data!B1191)="","Unknown",PROPER(TRIM(Raw_Data!B1191)))</f>
        <v>Monitor</v>
      </c>
      <c r="C1191" t="str">
        <f>IF(TRIM(Raw_Data!C1191)="","South",TRIM(Raw_Data!C1191))</f>
        <v>South</v>
      </c>
      <c r="D1191">
        <f>IF(TRIM(Raw_Data!D1191)="",30435.80739,Raw_Data!D1191)</f>
        <v>17435.509999999998</v>
      </c>
      <c r="E1191" t="str">
        <f>TEXT(Raw_Data!E1191,"DD-MM-YYYY")</f>
        <v>26-09-2024</v>
      </c>
    </row>
    <row r="1192" spans="1:5" x14ac:dyDescent="0.3">
      <c r="A1192">
        <v>2190</v>
      </c>
      <c r="B1192" t="str">
        <f>IF(TRIM(Raw_Data!B1192)="","Unknown",PROPER(TRIM(Raw_Data!B1192)))</f>
        <v>Laptop</v>
      </c>
      <c r="C1192" t="str">
        <f>IF(TRIM(Raw_Data!C1192)="","South",TRIM(Raw_Data!C1192))</f>
        <v>South</v>
      </c>
      <c r="D1192">
        <f>IF(TRIM(Raw_Data!D1192)="",30435.80739,Raw_Data!D1192)</f>
        <v>28833.62</v>
      </c>
      <c r="E1192" t="str">
        <f>TEXT(Raw_Data!E1192,"DD-MM-YYYY")</f>
        <v>26-04-2024</v>
      </c>
    </row>
    <row r="1193" spans="1:5" x14ac:dyDescent="0.3">
      <c r="A1193">
        <v>2191</v>
      </c>
      <c r="B1193" t="str">
        <f>IF(TRIM(Raw_Data!B1193)="","Unknown",PROPER(TRIM(Raw_Data!B1193)))</f>
        <v>Laptop</v>
      </c>
      <c r="C1193" t="str">
        <f>IF(TRIM(Raw_Data!C1193)="","South",TRIM(Raw_Data!C1193))</f>
        <v>East</v>
      </c>
      <c r="D1193">
        <f>IF(TRIM(Raw_Data!D1193)="",30435.80739,Raw_Data!D1193)</f>
        <v>31044.13</v>
      </c>
      <c r="E1193" t="str">
        <f>TEXT(Raw_Data!E1193,"DD-MM-YYYY")</f>
        <v>06-09-2024</v>
      </c>
    </row>
    <row r="1194" spans="1:5" x14ac:dyDescent="0.3">
      <c r="A1194">
        <v>2192</v>
      </c>
      <c r="B1194" t="str">
        <f>IF(TRIM(Raw_Data!B1194)="","Unknown",PROPER(TRIM(Raw_Data!B1194)))</f>
        <v>Mouse</v>
      </c>
      <c r="C1194" t="str">
        <f>IF(TRIM(Raw_Data!C1194)="","South",TRIM(Raw_Data!C1194))</f>
        <v>East</v>
      </c>
      <c r="D1194">
        <f>IF(TRIM(Raw_Data!D1194)="",30435.80739,Raw_Data!D1194)</f>
        <v>29120.61</v>
      </c>
      <c r="E1194" t="str">
        <f>TEXT(Raw_Data!E1194,"DD-MM-YYYY")</f>
        <v>29-07-2024</v>
      </c>
    </row>
    <row r="1195" spans="1:5" x14ac:dyDescent="0.3">
      <c r="A1195">
        <v>2193</v>
      </c>
      <c r="B1195" t="str">
        <f>IF(TRIM(Raw_Data!B1195)="","Unknown",PROPER(TRIM(Raw_Data!B1195)))</f>
        <v>Mouse</v>
      </c>
      <c r="C1195" t="str">
        <f>IF(TRIM(Raw_Data!C1195)="","South",TRIM(Raw_Data!C1195))</f>
        <v>South</v>
      </c>
      <c r="D1195">
        <f>IF(TRIM(Raw_Data!D1195)="",30435.80739,Raw_Data!D1195)</f>
        <v>13908.87</v>
      </c>
      <c r="E1195" t="str">
        <f>TEXT(Raw_Data!E1195,"DD-MM-YYYY")</f>
        <v>22-10-2024</v>
      </c>
    </row>
    <row r="1196" spans="1:5" x14ac:dyDescent="0.3">
      <c r="A1196">
        <v>2194</v>
      </c>
      <c r="B1196" t="str">
        <f>IF(TRIM(Raw_Data!B1196)="","Unknown",PROPER(TRIM(Raw_Data!B1196)))</f>
        <v>Mouse</v>
      </c>
      <c r="C1196" t="str">
        <f>IF(TRIM(Raw_Data!C1196)="","South",TRIM(Raw_Data!C1196))</f>
        <v>East</v>
      </c>
      <c r="D1196">
        <f>IF(TRIM(Raw_Data!D1196)="",30435.80739,Raw_Data!D1196)</f>
        <v>30435.807390000002</v>
      </c>
      <c r="E1196" t="str">
        <f>TEXT(Raw_Data!E1196,"DD-MM-YYYY")</f>
        <v>20-06-2024</v>
      </c>
    </row>
    <row r="1197" spans="1:5" x14ac:dyDescent="0.3">
      <c r="A1197">
        <v>2195</v>
      </c>
      <c r="B1197" t="str">
        <f>IF(TRIM(Raw_Data!B1197)="","Unknown",PROPER(TRIM(Raw_Data!B1197)))</f>
        <v>Mouse</v>
      </c>
      <c r="C1197" t="str">
        <f>IF(TRIM(Raw_Data!C1197)="","South",TRIM(Raw_Data!C1197))</f>
        <v>North</v>
      </c>
      <c r="D1197">
        <f>IF(TRIM(Raw_Data!D1197)="",30435.80739,Raw_Data!D1197)</f>
        <v>5948.55</v>
      </c>
      <c r="E1197" t="str">
        <f>TEXT(Raw_Data!E1197,"DD-MM-YYYY")</f>
        <v>01-08-2024</v>
      </c>
    </row>
    <row r="1198" spans="1:5" x14ac:dyDescent="0.3">
      <c r="A1198">
        <v>2196</v>
      </c>
      <c r="B1198" t="str">
        <f>IF(TRIM(Raw_Data!B1198)="","Unknown",PROPER(TRIM(Raw_Data!B1198)))</f>
        <v>Mouse</v>
      </c>
      <c r="C1198" t="str">
        <f>IF(TRIM(Raw_Data!C1198)="","South",TRIM(Raw_Data!C1198))</f>
        <v>West</v>
      </c>
      <c r="D1198">
        <f>IF(TRIM(Raw_Data!D1198)="",30435.80739,Raw_Data!D1198)</f>
        <v>32520.58</v>
      </c>
      <c r="E1198" t="str">
        <f>TEXT(Raw_Data!E1198,"DD-MM-YYYY")</f>
        <v>03-08-2024</v>
      </c>
    </row>
    <row r="1199" spans="1:5" x14ac:dyDescent="0.3">
      <c r="A1199">
        <v>2197</v>
      </c>
      <c r="B1199" t="str">
        <f>IF(TRIM(Raw_Data!B1199)="","Unknown",PROPER(TRIM(Raw_Data!B1199)))</f>
        <v>Laptop</v>
      </c>
      <c r="C1199" t="str">
        <f>IF(TRIM(Raw_Data!C1199)="","South",TRIM(Raw_Data!C1199))</f>
        <v>East</v>
      </c>
      <c r="D1199">
        <f>IF(TRIM(Raw_Data!D1199)="",30435.80739,Raw_Data!D1199)</f>
        <v>56670.35</v>
      </c>
      <c r="E1199" t="str">
        <f>TEXT(Raw_Data!E1199,"DD-MM-YYYY")</f>
        <v>12-04-2024</v>
      </c>
    </row>
    <row r="1200" spans="1:5" x14ac:dyDescent="0.3">
      <c r="A1200">
        <v>2198</v>
      </c>
      <c r="B1200" t="str">
        <f>IF(TRIM(Raw_Data!B1200)="","Unknown",PROPER(TRIM(Raw_Data!B1200)))</f>
        <v>Laptop</v>
      </c>
      <c r="C1200" t="str">
        <f>IF(TRIM(Raw_Data!C1200)="","South",TRIM(Raw_Data!C1200))</f>
        <v>East</v>
      </c>
      <c r="D1200">
        <f>IF(TRIM(Raw_Data!D1200)="",30435.80739,Raw_Data!D1200)</f>
        <v>34029.660000000003</v>
      </c>
      <c r="E1200" t="str">
        <f>TEXT(Raw_Data!E1200,"DD-MM-YYYY")</f>
        <v>04-05-2024</v>
      </c>
    </row>
    <row r="1201" spans="1:5" x14ac:dyDescent="0.3">
      <c r="A1201">
        <v>2199</v>
      </c>
      <c r="B1201" t="str">
        <f>IF(TRIM(Raw_Data!B1201)="","Unknown",PROPER(TRIM(Raw_Data!B1201)))</f>
        <v>Tablet</v>
      </c>
      <c r="C1201" t="str">
        <f>IF(TRIM(Raw_Data!C1201)="","South",TRIM(Raw_Data!C1201))</f>
        <v>West</v>
      </c>
      <c r="D1201">
        <f>IF(TRIM(Raw_Data!D1201)="",30435.80739,Raw_Data!D1201)</f>
        <v>3647.98</v>
      </c>
      <c r="E1201" t="str">
        <f>TEXT(Raw_Data!E1201,"DD-MM-YYYY")</f>
        <v>06-02-2024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K5" sqref="K3:L10"/>
    </sheetView>
  </sheetViews>
  <sheetFormatPr defaultRowHeight="14.4" x14ac:dyDescent="0.3"/>
  <cols>
    <col min="1" max="1" width="12.5546875" bestFit="1" customWidth="1"/>
    <col min="2" max="2" width="14.6640625" customWidth="1"/>
    <col min="11" max="11" width="12.5546875" customWidth="1"/>
    <col min="12" max="12" width="14.88671875" bestFit="1" customWidth="1"/>
  </cols>
  <sheetData>
    <row r="1" spans="1:12" x14ac:dyDescent="0.3">
      <c r="A1" t="s">
        <v>733</v>
      </c>
      <c r="B1">
        <f>SUM(Cleaned_Data!D:D)</f>
        <v>36522968.86601001</v>
      </c>
    </row>
    <row r="3" spans="1:12" x14ac:dyDescent="0.3">
      <c r="A3" s="2" t="s">
        <v>2</v>
      </c>
      <c r="B3" t="s">
        <v>731</v>
      </c>
      <c r="K3" s="2" t="s">
        <v>736</v>
      </c>
      <c r="L3" t="s">
        <v>734</v>
      </c>
    </row>
    <row r="4" spans="1:12" x14ac:dyDescent="0.3">
      <c r="A4" s="3" t="s">
        <v>11</v>
      </c>
      <c r="B4" s="4">
        <v>275</v>
      </c>
      <c r="K4" s="3" t="s">
        <v>9</v>
      </c>
      <c r="L4" s="4">
        <v>6509041.121290002</v>
      </c>
    </row>
    <row r="5" spans="1:12" x14ac:dyDescent="0.3">
      <c r="A5" s="3" t="s">
        <v>13</v>
      </c>
      <c r="B5" s="4">
        <v>292</v>
      </c>
      <c r="K5" s="3" t="s">
        <v>6</v>
      </c>
      <c r="L5" s="4">
        <v>6579854.8138999986</v>
      </c>
    </row>
    <row r="6" spans="1:12" x14ac:dyDescent="0.3">
      <c r="A6" s="3" t="s">
        <v>10</v>
      </c>
      <c r="B6" s="4">
        <v>344</v>
      </c>
      <c r="K6" s="3" t="s">
        <v>5</v>
      </c>
      <c r="L6" s="4">
        <v>6531293.3138999967</v>
      </c>
    </row>
    <row r="7" spans="1:12" x14ac:dyDescent="0.3">
      <c r="A7" s="3" t="s">
        <v>12</v>
      </c>
      <c r="B7" s="4">
        <v>289</v>
      </c>
      <c r="K7" s="3" t="s">
        <v>8</v>
      </c>
      <c r="L7" s="4">
        <v>7333008.5186800007</v>
      </c>
    </row>
    <row r="8" spans="1:12" x14ac:dyDescent="0.3">
      <c r="A8" s="3" t="s">
        <v>730</v>
      </c>
      <c r="B8" s="4">
        <v>1200</v>
      </c>
      <c r="K8" s="3" t="s">
        <v>7</v>
      </c>
      <c r="L8" s="4">
        <v>7450700.5686799986</v>
      </c>
    </row>
    <row r="9" spans="1:12" x14ac:dyDescent="0.3">
      <c r="K9" s="3" t="s">
        <v>735</v>
      </c>
      <c r="L9" s="4">
        <v>2119070.5295599997</v>
      </c>
    </row>
    <row r="10" spans="1:12" x14ac:dyDescent="0.3">
      <c r="K10" s="3" t="s">
        <v>730</v>
      </c>
      <c r="L10" s="4">
        <v>36522968.866009995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Raw_Data</vt:lpstr>
      <vt:lpstr>Cleaned_Data</vt:lpstr>
      <vt:lpstr>Data_Analysis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2026-04-14T10:01:42Z</dcterms:created>
  <dcterms:modified xsi:type="dcterms:W3CDTF">2026-04-15T08:25:33Z</dcterms:modified>
</cp:coreProperties>
</file>